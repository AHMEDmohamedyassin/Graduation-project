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 H Ismail\Desktop\My Excel\"/>
    </mc:Choice>
  </mc:AlternateContent>
  <xr:revisionPtr revIDLastSave="0" documentId="13_ncr:1_{6612211D-97F2-4B18-99A5-36B6E3606C29}" xr6:coauthVersionLast="44" xr6:coauthVersionMax="44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  <sheet name="Compact Chart" sheetId="5" r:id="rId2"/>
    <sheet name="Revisions" sheetId="4" r:id="rId3"/>
    <sheet name="St-Table" sheetId="6" r:id="rId4"/>
  </sheets>
  <functionGroups builtInGroupCount="19"/>
  <definedNames>
    <definedName name="ar">Sheet1!$H$130</definedName>
    <definedName name="Area" localSheetId="0">Sheet1!$H$32</definedName>
    <definedName name="Bfb">Sheet1!$H$28</definedName>
    <definedName name="Bft">Sheet1!$H$27</definedName>
    <definedName name="Cb" localSheetId="0">Sheet1!$V$17</definedName>
    <definedName name="Cf">Sheet1!$AG$29</definedName>
    <definedName name="Classification">Sheet1!$AA$68</definedName>
    <definedName name="CPG_f">Sheet1!$H$136</definedName>
    <definedName name="CPG_LTB">Sheet1!$H$141</definedName>
    <definedName name="Cv">Sheet1!$K$166</definedName>
    <definedName name="dw">Sheet1!$AG$28</definedName>
    <definedName name="Es">Sheet1!$H$22</definedName>
    <definedName name="Fcr_f">Sheet1!$V$136</definedName>
    <definedName name="Fcr_LTB">Sheet1!$V$141</definedName>
    <definedName name="Fe">Sheet1!$V$104</definedName>
    <definedName name="FL">Sheet1!$V$114</definedName>
    <definedName name="FlgCom">Sheet1!$AG$24</definedName>
    <definedName name="Fy">Sheet1!$H$21</definedName>
    <definedName name="h" localSheetId="0">Sheet1!$H$26</definedName>
    <definedName name="Hw">Sheet1!$AG$27</definedName>
    <definedName name="IR">Sheet1!$V$21</definedName>
    <definedName name="Ixx">Sheet1!$H$34</definedName>
    <definedName name="Iyy">Sheet1!$V$34</definedName>
    <definedName name="J">Sheet1!$V$39</definedName>
    <definedName name="klx" localSheetId="0">Sheet1!$H$18</definedName>
    <definedName name="kly" localSheetId="0">Sheet1!$V$18</definedName>
    <definedName name="Lamda_c">Sheet1!$H$105</definedName>
    <definedName name="Lamda_f">Sheet1!$H$124</definedName>
    <definedName name="Lamda_LTB">Sheet1!$V$130</definedName>
    <definedName name="Lamda_p_f">Sheet1!$H$122</definedName>
    <definedName name="Lamda_p_f_LTB">Sheet1!$H$140</definedName>
    <definedName name="Lamda_p_w">Sheet1!$H$123</definedName>
    <definedName name="Lamda_r_f">Sheet1!$V$122</definedName>
    <definedName name="Lamda_r_f_LTB">Sheet1!$V$140</definedName>
    <definedName name="Lamda_r_w">Sheet1!$V$123</definedName>
    <definedName name="Lamda_w">Sheet1!$V$124</definedName>
    <definedName name="Lamda_x" localSheetId="0">Sheet1!$H$102</definedName>
    <definedName name="Lamda_y" localSheetId="0">Sheet1!$V$102</definedName>
    <definedName name="Lamdax" localSheetId="0">Sheet1!$H$102</definedName>
    <definedName name="Lamday" localSheetId="0">Sheet1!$V$102</definedName>
    <definedName name="Lb">Sheet1!$H$17</definedName>
    <definedName name="Lp">Sheet1!$H$112</definedName>
    <definedName name="Lr">Sheet1!$H$113</definedName>
    <definedName name="Lu" localSheetId="0">Sheet1!$H$17</definedName>
    <definedName name="m">Sheet1!$H$132</definedName>
    <definedName name="M_sy">Sheet1!$H$153</definedName>
    <definedName name="Mcr">Sheet1!$H$117</definedName>
    <definedName name="Mcr_y">Sheet1!$H$152</definedName>
    <definedName name="Mp">Sheet1!$H$115</definedName>
    <definedName name="Mp_y">Sheet1!$H$150</definedName>
    <definedName name="Mr">Sheet1!$H$116</definedName>
    <definedName name="Mx" localSheetId="0">Sheet1!$H$14</definedName>
    <definedName name="My" localSheetId="0">Sheet1!$H$15</definedName>
    <definedName name="P" localSheetId="0">Sheet1!$H$16</definedName>
    <definedName name="phib">Sheet1!$H$145</definedName>
    <definedName name="phic">Sheet1!$H$106</definedName>
    <definedName name="Phit">Sheet1!$G$109</definedName>
    <definedName name="phiv">Sheet1!$H$173</definedName>
    <definedName name="_xlnm.Print_Area" localSheetId="0">Sheet1!$A$1:$AC$240</definedName>
    <definedName name="_xlnm.Print_Titles" localSheetId="0">Sheet1!$1:$5</definedName>
    <definedName name="Prof">Sheet1!$H$25</definedName>
    <definedName name="Q">Sheet1!$H$104</definedName>
    <definedName name="Qx" localSheetId="0">Sheet1!$V$15</definedName>
    <definedName name="Qy" localSheetId="0">Sheet1!$V$14</definedName>
    <definedName name="Re">Sheet1!$V$132</definedName>
    <definedName name="Rpg_f">Sheet1!$V$137</definedName>
    <definedName name="Rpg_LTB">Sheet1!$V$142</definedName>
    <definedName name="rr">Sheet1!$H$29</definedName>
    <definedName name="Rt">Sheet1!$H$39</definedName>
    <definedName name="Rxx">Sheet1!$H$38</definedName>
    <definedName name="Ryy">Sheet1!$V$38</definedName>
    <definedName name="SecCom">Sheet1!$AJ$23</definedName>
    <definedName name="SQRTFY">Sheet1!$AF$25</definedName>
    <definedName name="St_Table">'St-Table'!$A$7:$AK$416</definedName>
    <definedName name="Stiff_N" localSheetId="0">Sheet1!$AM$30</definedName>
    <definedName name="Stiff1" localSheetId="0">Sheet1!$AM$31</definedName>
    <definedName name="Stiff2" localSheetId="0">Sheet1!$AM$32</definedName>
    <definedName name="Stiff3" localSheetId="0">Sheet1!$AM$33</definedName>
    <definedName name="Sxxbot" localSheetId="0">Sheet1!$H$37</definedName>
    <definedName name="Sxxtop" localSheetId="0">Sheet1!$H$36</definedName>
    <definedName name="Syybot">Sheet1!$V$37</definedName>
    <definedName name="Syytop">Sheet1!$V$36</definedName>
    <definedName name="tfb" localSheetId="0">Sheet1!$V$28</definedName>
    <definedName name="tft" localSheetId="0">Sheet1!$V$27</definedName>
    <definedName name="tw" localSheetId="0">Sheet1!$V$26</definedName>
    <definedName name="WebCom">Sheet1!$AG$23</definedName>
    <definedName name="X">Sheet1!$H$114</definedName>
    <definedName name="x0">Sheet1!$AG$12</definedName>
    <definedName name="xa">Sheet1!$AG$13</definedName>
    <definedName name="xc">Sheet1!$AG$14</definedName>
    <definedName name="y0">Sheet1!$AI$12</definedName>
    <definedName name="ya">Sheet1!$AI$13</definedName>
    <definedName name="Ybot" localSheetId="0">Sheet1!$V$33</definedName>
    <definedName name="yc">Sheet1!$AI$14</definedName>
    <definedName name="Ytop" localSheetId="0">Sheet1!$H$33</definedName>
    <definedName name="Z_3B78D0E4_16CC_11D4_B7CE_0050DA395D67_.wvu.PrintArea" localSheetId="0" hidden="1">Sheet1!$B$1:$AC$52</definedName>
    <definedName name="Z_43C93194_A011_416F_BE12_1C70E0674F2F_.wvu.PrintArea" localSheetId="0" hidden="1">Sheet1!$A$1:$AC$52</definedName>
    <definedName name="Z_43C93194_A011_416F_BE12_1C70E0674F2F_.wvu.PrintTitles" localSheetId="0" hidden="1">Sheet1!$A:$A,Sheet1!$1:$5</definedName>
    <definedName name="Z_5CEDBF90_28E0_498A_BF62_8EA3499BFA7F_.wvu.PrintArea" localSheetId="0" hidden="1">Sheet1!$A$1:$AC$52</definedName>
    <definedName name="Z_5CEDBF90_28E0_498A_BF62_8EA3499BFA7F_.wvu.PrintTitles" localSheetId="0" hidden="1">Sheet1!$A:$A,Sheet1!$1:$5</definedName>
    <definedName name="Z_627FF738_70E0_445C_84A2_4350329382C4_.wvu.PrintArea" localSheetId="0" hidden="1">Sheet1!$A$1:$AC$52</definedName>
    <definedName name="Z_627FF738_70E0_445C_84A2_4350329382C4_.wvu.PrintTitles" localSheetId="0" hidden="1">Sheet1!$A:$A,Sheet1!$1:$5</definedName>
    <definedName name="Z_8241F37F_7421_44A0_900E_F57F5FAD95E3_.wvu.PrintArea" localSheetId="0" hidden="1">Sheet1!$B$1:$AC$52</definedName>
    <definedName name="Z_A9EC0360_97A2_11D4_9FCE_0050DA3D4DED_.wvu.PrintArea" localSheetId="0" hidden="1">Sheet1!$B$1:$AC$52</definedName>
    <definedName name="Z_B43D84F6_ECE1_4184_859D_4B803B980EF6_.wvu.PrintArea" localSheetId="0" hidden="1">Sheet1!$B$1:$AC$52</definedName>
    <definedName name="Z_C2D7D384_8011_11D3_B45A_D0656AEFEC34_.wvu.PrintArea" localSheetId="0" hidden="1">Sheet1!$B$1:$AC$52</definedName>
    <definedName name="Z_D127AEA6_C2DF_11D2_8A4B_444553540000_.wvu.PrintArea" localSheetId="0" hidden="1">Sheet1!$A$1:$AC$52</definedName>
    <definedName name="Z_D127AEA6_C2DF_11D2_8A4B_444553540000_.wvu.PrintTitles" localSheetId="0" hidden="1">Sheet1!$1:$5</definedName>
    <definedName name="Z_D9B23BE2_DE21_11D3_BB22_0050DA3D5129_.wvu.PrintArea" localSheetId="0" hidden="1">Sheet1!$B$1:$AC$52</definedName>
    <definedName name="Z_E8C94553_FFEA_4948_9CE9_31EDF7671BDE_.wvu.PrintArea" localSheetId="0" hidden="1">Sheet1!$A$1:$AC$52</definedName>
    <definedName name="Z_E8C94553_FFEA_4948_9CE9_31EDF7671BDE_.wvu.PrintTitles" localSheetId="0" hidden="1">Sheet1!$1:$5</definedName>
    <definedName name="Z_EE5FEB6A_0792_4F97_943A_2968EFDBB43D_.wvu.PrintArea" localSheetId="0" hidden="1">Sheet1!$A$1:$AC$52</definedName>
    <definedName name="Z_EE5FEB6A_0792_4F97_943A_2968EFDBB43D_.wvu.PrintTitles" localSheetId="0" hidden="1">Sheet1!$A:$A,Sheet1!$1:$5</definedName>
    <definedName name="Zxx">Sheet1!$H$35</definedName>
    <definedName name="Zyy">Sheet1!$V$35</definedName>
  </definedNames>
  <calcPr calcId="191029"/>
  <customWorkbookViews>
    <customWorkbookView name="Hisham Ismail - Personal View" guid="{D127AEA6-C2DF-11D2-8A4B-444553540000}" mergeInterval="0" personalView="1" maximized="1" windowWidth="1436" windowHeight="665" activeSheetId="1"/>
    <customWorkbookView name="civ12596 - Personal View" guid="{627FF738-70E0-445C-84A2-4350329382C4}" mergeInterval="0" personalView="1" maximized="1" xWindow="1" yWindow="1" windowWidth="1210" windowHeight="794" activeSheetId="1"/>
    <customWorkbookView name="civ12827 - Personal View" guid="{5CEDBF90-28E0-498A-BF62-8EA3499BFA7F}" mergeInterval="0" personalView="1" maximized="1" xWindow="1" yWindow="1" windowWidth="1276" windowHeight="638" activeSheetId="1"/>
    <customWorkbookView name="******* - Personal View" guid="{D9B23BE2-DE21-11D3-BB22-0050DA3D5129}" mergeInterval="0" personalView="1" maximized="1" windowWidth="796" windowHeight="438" activeSheetId="1" showComments="commNone"/>
    <customWorkbookView name="**/** - Personal View" guid="{C2D7D384-8011-11D3-B45A-D0656AEFEC34}" mergeInterval="0" personalView="1" maximized="1" windowWidth="1020" windowHeight="607" activeSheetId="1"/>
    <customWorkbookView name="Dr: Ahmed Farok - Personal View" guid="{3B78D0E4-16CC-11D4-B7CE-0050DA395D67}" mergeInterval="0" personalView="1" maximized="1" windowWidth="794" windowHeight="466" activeSheetId="1" showComments="commNone"/>
    <customWorkbookView name="Dr. Ahmed - Personal View" guid="{A9EC0360-97A2-11D4-9FCE-0050DA3D4DED}" mergeInterval="0" personalView="1" maximized="1" windowWidth="987" windowHeight="611" activeSheetId="1"/>
    <customWorkbookView name="civ10560 - Personal View" guid="{B43D84F6-ECE1-4184-859D-4B803B980EF6}" mergeInterval="0" personalView="1" maximized="1" windowWidth="1020" windowHeight="579" activeSheetId="1"/>
    <customWorkbookView name="Hisham - Personal View" guid="{43C93194-A011-416F-BE12-1C70E0674F2F}" mergeInterval="0" personalView="1" maximized="1" xWindow="1" yWindow="1" windowWidth="1020" windowHeight="548" activeSheetId="1"/>
    <customWorkbookView name="civ12427 - Personal View" guid="{EE5FEB6A-0792-4F97-943A-2968EFDBB43D}" mergeInterval="0" personalView="1" maximized="1" xWindow="1" yWindow="1" windowWidth="1276" windowHeight="803" activeSheetId="1"/>
    <customWorkbookView name="Ashraf Omar - Personal View" guid="{8241F37F-7421-44A0-900E-F57F5FAD95E3}" mergeInterval="0" personalView="1" maximized="1" windowWidth="1596" windowHeight="659" activeSheetId="1"/>
    <customWorkbookView name="M Hisham Ismail - Personal View" guid="{E8C94553-FFEA-4948-9CE9-31EDF7671BDE}" mergeInterval="0" personalView="1" maximized="1" xWindow="-8" yWindow="-8" windowWidth="1382" windowHeight="784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11" i="1" l="1"/>
  <c r="L208" i="1"/>
  <c r="H170" i="1" l="1"/>
  <c r="H153" i="1" l="1"/>
  <c r="V141" i="1"/>
  <c r="V130" i="1"/>
  <c r="H140" i="1"/>
  <c r="V135" i="1"/>
  <c r="H135" i="1"/>
  <c r="V123" i="1"/>
  <c r="H123" i="1"/>
  <c r="V122" i="1"/>
  <c r="H122" i="1"/>
  <c r="H29" i="1" l="1"/>
  <c r="R211" i="1" l="1"/>
  <c r="R210" i="1"/>
  <c r="H151" i="1" l="1"/>
  <c r="V114" i="1" l="1"/>
  <c r="V39" i="1"/>
  <c r="V38" i="1"/>
  <c r="H38" i="1"/>
  <c r="V34" i="1"/>
  <c r="H34" i="1"/>
  <c r="V36" i="1"/>
  <c r="H36" i="1"/>
  <c r="V35" i="1"/>
  <c r="H35" i="1"/>
  <c r="H32" i="1"/>
  <c r="V32" i="1"/>
  <c r="V26" i="1"/>
  <c r="V27" i="1"/>
  <c r="H27" i="1"/>
  <c r="H26" i="1"/>
  <c r="H33" i="1" s="1"/>
  <c r="V33" i="1" s="1"/>
  <c r="F414" i="6"/>
  <c r="L414" i="6"/>
  <c r="B416" i="6"/>
  <c r="C416" i="6"/>
  <c r="E416" i="6"/>
  <c r="H37" i="1" l="1"/>
  <c r="V37" i="1"/>
  <c r="R216" i="1"/>
  <c r="R215" i="1"/>
  <c r="R208" i="1"/>
  <c r="R207" i="1"/>
  <c r="R206" i="1"/>
  <c r="H141" i="1" l="1"/>
  <c r="V140" i="1"/>
  <c r="V28" i="1" l="1"/>
  <c r="H28" i="1"/>
  <c r="H171" i="1" l="1"/>
  <c r="V174" i="1" s="1"/>
  <c r="AH97" i="1"/>
  <c r="AH96" i="1"/>
  <c r="AH95" i="1"/>
  <c r="AI76" i="1" l="1"/>
  <c r="AI75" i="1"/>
  <c r="AI74" i="1"/>
  <c r="AH107" i="1"/>
  <c r="AH108" i="1" s="1"/>
  <c r="AH109" i="1" s="1"/>
  <c r="AH110" i="1" s="1"/>
  <c r="AI108" i="1"/>
  <c r="AI107" i="1"/>
  <c r="AG107" i="1"/>
  <c r="AG108" i="1" l="1"/>
  <c r="AF108" i="1"/>
  <c r="AF110" i="1" s="1"/>
  <c r="AF107" i="1"/>
  <c r="AG110" i="1" l="1"/>
  <c r="AF25" i="1"/>
  <c r="AG29" i="1"/>
  <c r="AG68" i="1" l="1"/>
  <c r="AG67" i="1"/>
  <c r="AG66" i="1"/>
  <c r="AG65" i="1"/>
  <c r="AD68" i="1"/>
  <c r="AD67" i="1"/>
  <c r="AS67" i="1" s="1"/>
  <c r="AD66" i="1"/>
  <c r="AD65" i="1"/>
  <c r="AS65" i="1" l="1"/>
  <c r="T68" i="1" s="1"/>
  <c r="H124" i="1" s="1"/>
  <c r="AF75" i="1"/>
  <c r="AF74" i="1"/>
  <c r="H103" i="1" l="1"/>
  <c r="H142" i="1"/>
  <c r="V136" i="1"/>
  <c r="H137" i="1" s="1"/>
  <c r="AG109" i="1"/>
  <c r="AK107" i="1" s="1"/>
  <c r="AG91" i="1"/>
  <c r="AG90" i="1"/>
  <c r="AG89" i="1"/>
  <c r="AI88" i="1"/>
  <c r="AG88" i="1"/>
  <c r="AI87" i="1"/>
  <c r="AG87" i="1"/>
  <c r="AI86" i="1"/>
  <c r="AG86" i="1"/>
  <c r="AS68" i="1" l="1"/>
  <c r="T75" i="1" s="1"/>
  <c r="AS66" i="1"/>
  <c r="T69" i="1" s="1"/>
  <c r="T74" i="1"/>
  <c r="AF109" i="1" l="1"/>
  <c r="AF97" i="1"/>
  <c r="AF96" i="1"/>
  <c r="AF95" i="1"/>
  <c r="AG94" i="1"/>
  <c r="AG93" i="1"/>
  <c r="AG92" i="1"/>
  <c r="AI85" i="1"/>
  <c r="AG85" i="1"/>
  <c r="AI84" i="1"/>
  <c r="AG84" i="1"/>
  <c r="AI83" i="1"/>
  <c r="AG83" i="1"/>
  <c r="AR75" i="1"/>
  <c r="T72" i="1" s="1"/>
  <c r="AE33" i="1"/>
  <c r="AE32" i="1"/>
  <c r="AG27" i="1"/>
  <c r="H150" i="1" l="1"/>
  <c r="H130" i="1"/>
  <c r="V132" i="1" s="1"/>
  <c r="V109" i="1"/>
  <c r="J198" i="1" s="1"/>
  <c r="H116" i="1"/>
  <c r="H115" i="1"/>
  <c r="H112" i="1"/>
  <c r="AG18" i="1"/>
  <c r="AG20" i="1"/>
  <c r="AG19" i="1"/>
  <c r="H39" i="1"/>
  <c r="AI109" i="1"/>
  <c r="H102" i="1"/>
  <c r="V102" i="1"/>
  <c r="AG28" i="1"/>
  <c r="AI110" i="1"/>
  <c r="H46" i="1"/>
  <c r="AF76" i="1"/>
  <c r="AF73" i="1"/>
  <c r="AI89" i="1"/>
  <c r="AE34" i="1"/>
  <c r="AE31" i="1"/>
  <c r="AR74" i="1"/>
  <c r="T71" i="1" s="1"/>
  <c r="H44" i="1"/>
  <c r="V44" i="1"/>
  <c r="H45" i="1"/>
  <c r="V45" i="1"/>
  <c r="H43" i="1"/>
  <c r="V43" i="1"/>
  <c r="Y4" i="1"/>
  <c r="M198" i="1" l="1"/>
  <c r="AE198" i="1" s="1"/>
  <c r="H152" i="1"/>
  <c r="H114" i="1"/>
  <c r="AG22" i="1"/>
  <c r="AG21" i="1"/>
  <c r="H133" i="1"/>
  <c r="H117" i="1"/>
  <c r="V104" i="1"/>
  <c r="H57" i="1"/>
  <c r="AH65" i="1" s="1"/>
  <c r="T57" i="1"/>
  <c r="AI66" i="1" s="1"/>
  <c r="H63" i="1"/>
  <c r="AH67" i="1" s="1"/>
  <c r="T63" i="1"/>
  <c r="AI68" i="1" s="1"/>
  <c r="AR73" i="1"/>
  <c r="T70" i="1" s="1"/>
  <c r="V124" i="1" s="1"/>
  <c r="V173" i="1" s="1"/>
  <c r="AR76" i="1"/>
  <c r="T73" i="1" s="1"/>
  <c r="AI90" i="1"/>
  <c r="AI91" i="1" s="1"/>
  <c r="AI92" i="1" s="1"/>
  <c r="AI93" i="1" s="1"/>
  <c r="AI94" i="1" s="1"/>
  <c r="V47" i="1"/>
  <c r="H47" i="1"/>
  <c r="V48" i="1"/>
  <c r="H48" i="1"/>
  <c r="AG23" i="1"/>
  <c r="AE10" i="1" a="1"/>
  <c r="AG24" i="1"/>
  <c r="AT65" i="1"/>
  <c r="AU65" i="1"/>
  <c r="AE11" i="1" a="1"/>
  <c r="W211" i="1" l="1"/>
  <c r="AE211" i="1" s="1"/>
  <c r="P211" i="1"/>
  <c r="V103" i="1"/>
  <c r="H113" i="1"/>
  <c r="H119" i="1" s="1"/>
  <c r="AH10" i="1"/>
  <c r="AI16" i="1" s="1"/>
  <c r="AI10" i="1"/>
  <c r="AJ10" i="1"/>
  <c r="AI17" i="1" s="1"/>
  <c r="AE10" i="1"/>
  <c r="AG15" i="1" s="1"/>
  <c r="AG10" i="1"/>
  <c r="AG16" i="1" s="1"/>
  <c r="AF10" i="1"/>
  <c r="AI15" i="1" s="1"/>
  <c r="AH11" i="1"/>
  <c r="AJ11" i="1"/>
  <c r="AI11" i="1"/>
  <c r="AE11" i="1"/>
  <c r="AG12" i="1" s="1"/>
  <c r="AF11" i="1"/>
  <c r="AG11" i="1"/>
  <c r="AG13" i="1" s="1"/>
  <c r="AJ23" i="1"/>
  <c r="N63" i="1"/>
  <c r="N57" i="1"/>
  <c r="N59" i="1" l="1"/>
  <c r="N58" i="1"/>
  <c r="AH73" i="1" s="1"/>
  <c r="AI14" i="1"/>
  <c r="AI13" i="1"/>
  <c r="AG14" i="1"/>
  <c r="AG17" i="1"/>
  <c r="AI12" i="1"/>
  <c r="Q57" i="1"/>
  <c r="AH66" i="1" s="1"/>
  <c r="K57" i="1"/>
  <c r="AI65" i="1" s="1"/>
  <c r="N62" i="1"/>
  <c r="AI73" i="1" s="1"/>
  <c r="Q63" i="1"/>
  <c r="AH68" i="1" s="1"/>
  <c r="K63" i="1"/>
  <c r="AI67" i="1" s="1"/>
  <c r="N61" i="1"/>
  <c r="N60" i="1"/>
  <c r="AN65" i="1"/>
  <c r="AM65" i="1"/>
  <c r="AM66" i="1"/>
  <c r="AT67" i="1"/>
  <c r="AJ73" i="1"/>
  <c r="AJ67" i="1"/>
  <c r="AQ66" i="1"/>
  <c r="AQ65" i="1"/>
  <c r="AP68" i="1"/>
  <c r="AT66" i="1"/>
  <c r="AM67" i="1"/>
  <c r="AO65" i="1"/>
  <c r="AM68" i="1"/>
  <c r="AL68" i="1"/>
  <c r="AL65" i="1"/>
  <c r="AN66" i="1"/>
  <c r="AL67" i="1"/>
  <c r="AK67" i="1"/>
  <c r="AP66" i="1"/>
  <c r="AS73" i="1"/>
  <c r="AQ68" i="1"/>
  <c r="AN68" i="1"/>
  <c r="AU68" i="1"/>
  <c r="AK65" i="1"/>
  <c r="AU66" i="1"/>
  <c r="AO67" i="1"/>
  <c r="AK68" i="1"/>
  <c r="AK66" i="1"/>
  <c r="AO66" i="1"/>
  <c r="AJ68" i="1"/>
  <c r="AL66" i="1"/>
  <c r="AU67" i="1"/>
  <c r="AN67" i="1"/>
  <c r="AO68" i="1"/>
  <c r="AP67" i="1"/>
  <c r="AJ66" i="1"/>
  <c r="AQ67" i="1"/>
  <c r="AJ65" i="1"/>
  <c r="AT68" i="1"/>
  <c r="AP65" i="1"/>
  <c r="AR66" i="1" l="1"/>
  <c r="R69" i="1" s="1"/>
  <c r="AR68" i="1"/>
  <c r="AR65" i="1"/>
  <c r="R68" i="1" s="1"/>
  <c r="AR67" i="1"/>
  <c r="X68" i="1"/>
  <c r="AE70" i="1" s="1"/>
  <c r="X75" i="1"/>
  <c r="AE77" i="1" s="1"/>
  <c r="V75" i="1"/>
  <c r="V68" i="1"/>
  <c r="P68" i="1"/>
  <c r="J74" i="1"/>
  <c r="H75" i="1"/>
  <c r="N75" i="1"/>
  <c r="N69" i="1"/>
  <c r="L75" i="1"/>
  <c r="N74" i="1"/>
  <c r="J68" i="1"/>
  <c r="P69" i="1"/>
  <c r="J75" i="1"/>
  <c r="F74" i="1"/>
  <c r="P74" i="1"/>
  <c r="H69" i="1"/>
  <c r="L74" i="1"/>
  <c r="P75" i="1"/>
  <c r="N68" i="1"/>
  <c r="L69" i="1"/>
  <c r="H74" i="1"/>
  <c r="J69" i="1"/>
  <c r="F68" i="1"/>
  <c r="H68" i="1"/>
  <c r="F75" i="1"/>
  <c r="F69" i="1"/>
  <c r="L68" i="1"/>
  <c r="R75" i="1"/>
  <c r="R74" i="1"/>
  <c r="AF88" i="1"/>
  <c r="AH88" i="1" s="1"/>
  <c r="AF87" i="1"/>
  <c r="AH87" i="1" s="1"/>
  <c r="AF86" i="1"/>
  <c r="AF90" i="1"/>
  <c r="AJ90" i="1" s="1"/>
  <c r="AF89" i="1"/>
  <c r="AF92" i="1"/>
  <c r="AF91" i="1"/>
  <c r="AF93" i="1"/>
  <c r="AF94" i="1"/>
  <c r="AH94" i="1" s="1"/>
  <c r="AF85" i="1"/>
  <c r="AF84" i="1"/>
  <c r="AJ84" i="1" s="1"/>
  <c r="AF83" i="1"/>
  <c r="AH74" i="1"/>
  <c r="AH75" i="1"/>
  <c r="AH76" i="1"/>
  <c r="AJ74" i="1"/>
  <c r="AT73" i="1"/>
  <c r="AH92" i="1" l="1"/>
  <c r="AH91" i="1"/>
  <c r="AH90" i="1"/>
  <c r="AH89" i="1"/>
  <c r="AH85" i="1"/>
  <c r="AH84" i="1"/>
  <c r="AH83" i="1"/>
  <c r="AH86" i="1"/>
  <c r="AH93" i="1"/>
  <c r="V69" i="1"/>
  <c r="X74" i="1"/>
  <c r="AE76" i="1" s="1"/>
  <c r="X69" i="1"/>
  <c r="AE71" i="1" s="1"/>
  <c r="AJ83" i="1"/>
  <c r="AJ88" i="1"/>
  <c r="AJ87" i="1"/>
  <c r="AJ94" i="1"/>
  <c r="AJ93" i="1"/>
  <c r="AJ89" i="1"/>
  <c r="AJ91" i="1"/>
  <c r="AJ92" i="1"/>
  <c r="AJ86" i="1"/>
  <c r="AJ85" i="1"/>
  <c r="X70" i="1"/>
  <c r="AK76" i="1"/>
  <c r="AO73" i="1"/>
  <c r="AL76" i="1"/>
  <c r="AS76" i="1"/>
  <c r="AK74" i="1"/>
  <c r="AT76" i="1"/>
  <c r="AO75" i="1"/>
  <c r="AN75" i="1"/>
  <c r="AL75" i="1"/>
  <c r="AE72" i="1" l="1"/>
  <c r="L216" i="1"/>
  <c r="W216" i="1" s="1"/>
  <c r="L215" i="1"/>
  <c r="W215" i="1" s="1"/>
  <c r="V74" i="1"/>
  <c r="X73" i="1"/>
  <c r="AE75" i="1" s="1"/>
  <c r="V73" i="1"/>
  <c r="AP75" i="1"/>
  <c r="AO76" i="1"/>
  <c r="AS74" i="1"/>
  <c r="AE215" i="1" l="1"/>
  <c r="P215" i="1"/>
  <c r="AE216" i="1"/>
  <c r="P216" i="1"/>
  <c r="V71" i="1"/>
  <c r="AT75" i="1"/>
  <c r="AO74" i="1"/>
  <c r="AK75" i="1"/>
  <c r="AL73" i="1"/>
  <c r="AM73" i="1"/>
  <c r="AQ73" i="1" l="1"/>
  <c r="X72" i="1"/>
  <c r="AE74" i="1" s="1"/>
  <c r="AS75" i="1"/>
  <c r="AM76" i="1"/>
  <c r="AK73" i="1"/>
  <c r="AJ76" i="1"/>
  <c r="V72" i="1" l="1"/>
  <c r="AN73" i="1"/>
  <c r="AJ75" i="1"/>
  <c r="AM74" i="1"/>
  <c r="AT74" i="1"/>
  <c r="AP73" i="1"/>
  <c r="AP76" i="1"/>
  <c r="AG95" i="1" l="1"/>
  <c r="AI95" i="1" s="1"/>
  <c r="X71" i="1"/>
  <c r="AE73" i="1" s="1"/>
  <c r="AN74" i="1"/>
  <c r="AP74" i="1"/>
  <c r="AM75" i="1"/>
  <c r="AL74" i="1"/>
  <c r="AN76" i="1"/>
  <c r="V70" i="1" l="1"/>
  <c r="J71" i="1"/>
  <c r="L72" i="1"/>
  <c r="N73" i="1"/>
  <c r="N71" i="1"/>
  <c r="L71" i="1"/>
  <c r="F72" i="1"/>
  <c r="N70" i="1"/>
  <c r="F73" i="1"/>
  <c r="H70" i="1"/>
  <c r="L73" i="1"/>
  <c r="L70" i="1"/>
  <c r="J70" i="1"/>
  <c r="F70" i="1"/>
  <c r="P71" i="1"/>
  <c r="H72" i="1"/>
  <c r="P73" i="1"/>
  <c r="P70" i="1"/>
  <c r="H71" i="1"/>
  <c r="J73" i="1"/>
  <c r="J72" i="1"/>
  <c r="H73" i="1"/>
  <c r="N72" i="1"/>
  <c r="P72" i="1"/>
  <c r="F71" i="1"/>
  <c r="AE78" i="1"/>
  <c r="AA68" i="1" s="1"/>
  <c r="R70" i="1"/>
  <c r="AQ74" i="1"/>
  <c r="R71" i="1" s="1"/>
  <c r="AK92" i="1"/>
  <c r="AG97" i="1"/>
  <c r="AK83" i="1"/>
  <c r="AK89" i="1"/>
  <c r="AK86" i="1"/>
  <c r="AQ76" i="1"/>
  <c r="R73" i="1" s="1"/>
  <c r="AQ75" i="1"/>
  <c r="R72" i="1" s="1"/>
  <c r="H159" i="1" l="1"/>
  <c r="V160" i="1" s="1"/>
  <c r="J202" i="1" s="1"/>
  <c r="H164" i="1"/>
  <c r="V165" i="1" s="1"/>
  <c r="J203" i="1" s="1"/>
  <c r="M203" i="1" s="1"/>
  <c r="AE203" i="1" s="1"/>
  <c r="H154" i="1"/>
  <c r="V156" i="1" s="1"/>
  <c r="J201" i="1"/>
  <c r="H120" i="1"/>
  <c r="H127" i="1"/>
  <c r="H144" i="1"/>
  <c r="V88" i="1"/>
  <c r="V84" i="1"/>
  <c r="H88" i="1"/>
  <c r="H84" i="1"/>
  <c r="H81" i="1"/>
  <c r="H86" i="1"/>
  <c r="V85" i="1"/>
  <c r="H85" i="1"/>
  <c r="V87" i="1"/>
  <c r="H83" i="1"/>
  <c r="H87" i="1"/>
  <c r="H82" i="1"/>
  <c r="V86" i="1"/>
  <c r="H80" i="1"/>
  <c r="H125" i="1"/>
  <c r="H126" i="1"/>
  <c r="H104" i="1"/>
  <c r="AG96" i="1"/>
  <c r="AI96" i="1" s="1"/>
  <c r="H128" i="1" l="1"/>
  <c r="M202" i="1"/>
  <c r="AE202" i="1" s="1"/>
  <c r="L210" i="1"/>
  <c r="AI97" i="1"/>
  <c r="AK95" i="1"/>
  <c r="AM83" i="1"/>
  <c r="AN83" i="1"/>
  <c r="AP83" i="1"/>
  <c r="AL83" i="1"/>
  <c r="AO83" i="1"/>
  <c r="M201" i="1" l="1"/>
  <c r="AE201" i="1" s="1"/>
  <c r="V142" i="1"/>
  <c r="H143" i="1" s="1"/>
  <c r="V137" i="1"/>
  <c r="H138" i="1" s="1"/>
  <c r="V145" i="1" s="1"/>
  <c r="H105" i="1"/>
  <c r="I93" i="1"/>
  <c r="I94" i="1"/>
  <c r="V83" i="1"/>
  <c r="W94" i="1" s="1"/>
  <c r="V82" i="1"/>
  <c r="W93" i="1" s="1"/>
  <c r="I92" i="1"/>
  <c r="I95" i="1"/>
  <c r="AL95" i="1"/>
  <c r="V81" i="1"/>
  <c r="AR83" i="1"/>
  <c r="AR85" i="1"/>
  <c r="AQ83" i="1"/>
  <c r="AQ85" i="1"/>
  <c r="V106" i="1" l="1"/>
  <c r="J196" i="1" s="1"/>
  <c r="V105" i="1"/>
  <c r="U138" i="1"/>
  <c r="W92" i="1"/>
  <c r="I96" i="1"/>
  <c r="M196" i="1" l="1"/>
  <c r="AE196" i="1" s="1"/>
  <c r="J200" i="1"/>
  <c r="L207" i="1" s="1"/>
  <c r="W207" i="1" s="1"/>
  <c r="AE127" i="1"/>
  <c r="W97" i="1"/>
  <c r="I97" i="1"/>
  <c r="W96" i="1"/>
  <c r="L206" i="1" l="1"/>
  <c r="W206" i="1" s="1"/>
  <c r="AE206" i="1" s="1"/>
  <c r="W208" i="1"/>
  <c r="M200" i="1"/>
  <c r="AE200" i="1" s="1"/>
  <c r="W210" i="1"/>
  <c r="AE207" i="1"/>
  <c r="AE18" i="1" l="1"/>
  <c r="AE210" i="1"/>
  <c r="P210" i="1"/>
  <c r="P207" i="1"/>
  <c r="P208" i="1"/>
  <c r="AE208" i="1"/>
  <c r="P206" i="1"/>
  <c r="AE220" i="1" l="1"/>
  <c r="C220" i="1" s="1"/>
</calcChain>
</file>

<file path=xl/sharedStrings.xml><?xml version="1.0" encoding="utf-8"?>
<sst xmlns="http://schemas.openxmlformats.org/spreadsheetml/2006/main" count="1589" uniqueCount="737">
  <si>
    <t>CALCULATIONS</t>
  </si>
  <si>
    <t>BY</t>
  </si>
  <si>
    <t>DATE</t>
  </si>
  <si>
    <t>CALC. No.</t>
  </si>
  <si>
    <t>Hisham Ismail</t>
  </si>
  <si>
    <t>i</t>
  </si>
  <si>
    <t>mhi</t>
  </si>
  <si>
    <t>001</t>
  </si>
  <si>
    <t xml:space="preserve">PAGE          </t>
  </si>
  <si>
    <t>rev 1.00</t>
  </si>
  <si>
    <t>First Issue</t>
  </si>
  <si>
    <t>TITLE :</t>
  </si>
  <si>
    <t>STRAINING ACTIONS</t>
  </si>
  <si>
    <t>=</t>
  </si>
  <si>
    <t>kN.m</t>
  </si>
  <si>
    <t>kN</t>
  </si>
  <si>
    <t>-ve for compression &amp; +ve for tension</t>
  </si>
  <si>
    <t>Lb</t>
  </si>
  <si>
    <t>mm</t>
  </si>
  <si>
    <t>Cb</t>
  </si>
  <si>
    <t>kLx</t>
  </si>
  <si>
    <t>kLy</t>
  </si>
  <si>
    <t>MATERIAL</t>
  </si>
  <si>
    <t>Yield Stress</t>
  </si>
  <si>
    <t>MPa</t>
  </si>
  <si>
    <t>Elasticity Modulus</t>
  </si>
  <si>
    <t>CROSS SECTION</t>
  </si>
  <si>
    <t>Profile Name</t>
  </si>
  <si>
    <t>Web Thick</t>
  </si>
  <si>
    <t>I-Beam Total DepthDepth</t>
  </si>
  <si>
    <t>SECTION PROPERTIES (GROSS )</t>
  </si>
  <si>
    <t>Area</t>
  </si>
  <si>
    <t>mm2</t>
  </si>
  <si>
    <t>Weight</t>
  </si>
  <si>
    <t>kg/m</t>
  </si>
  <si>
    <t>C.G. Y-top</t>
  </si>
  <si>
    <t>C.G. Y-bot</t>
  </si>
  <si>
    <t>Ix-x</t>
  </si>
  <si>
    <t>mm4</t>
  </si>
  <si>
    <t>Iy-y</t>
  </si>
  <si>
    <t>Zx-x</t>
  </si>
  <si>
    <t>mm3</t>
  </si>
  <si>
    <t>Zy-y</t>
  </si>
  <si>
    <t>Sx-x top</t>
  </si>
  <si>
    <t>Sx-x bot</t>
  </si>
  <si>
    <t>Rx-x</t>
  </si>
  <si>
    <t>Ry-y</t>
  </si>
  <si>
    <t>ACTUAL STRESSES (GROSS )</t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</si>
  <si>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Symbol"/>
        <family val="1"/>
        <charset val="2"/>
      </rPr>
      <t xml:space="preserve"> </t>
    </r>
    <r>
      <rPr>
        <sz val="8"/>
        <color indexed="39"/>
        <rFont val="Arial"/>
        <family val="2"/>
      </rPr>
      <t>bending_x top</t>
    </r>
  </si>
  <si>
    <t>Mpa</t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</si>
  <si>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Symbol"/>
        <family val="1"/>
        <charset val="2"/>
      </rPr>
      <t xml:space="preserve"> </t>
    </r>
    <r>
      <rPr>
        <sz val="8"/>
        <color indexed="39"/>
        <rFont val="Arial"/>
        <family val="2"/>
      </rPr>
      <t>bending_x bot</t>
    </r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</si>
  <si>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Symbol"/>
        <family val="1"/>
        <charset val="2"/>
      </rPr>
      <t xml:space="preserve"> </t>
    </r>
    <r>
      <rPr>
        <sz val="8"/>
        <color rgb="FF0000FF"/>
        <rFont val="Arial"/>
        <family val="2"/>
      </rPr>
      <t>axial</t>
    </r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</si>
  <si>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Arial"/>
        <family val="1"/>
        <charset val="2"/>
      </rPr>
      <t xml:space="preserve"> top_left</t>
    </r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</si>
  <si>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Arial"/>
        <family val="1"/>
        <charset val="2"/>
      </rPr>
      <t xml:space="preserve"> top_right</t>
    </r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</si>
  <si>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Arial"/>
        <family val="1"/>
        <charset val="2"/>
      </rPr>
      <t xml:space="preserve"> bot_left</t>
    </r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</si>
  <si>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Arial"/>
        <family val="1"/>
        <charset val="2"/>
      </rPr>
      <t xml:space="preserve"> bot_right</t>
    </r>
  </si>
  <si>
    <t>Top Flange</t>
  </si>
  <si>
    <t>top</t>
  </si>
  <si>
    <t>bot</t>
  </si>
  <si>
    <t>Bottom Flange</t>
  </si>
  <si>
    <t>epsi</t>
  </si>
  <si>
    <t>k_sigma</t>
  </si>
  <si>
    <t>rho</t>
  </si>
  <si>
    <t>Be</t>
  </si>
  <si>
    <t>Case</t>
  </si>
  <si>
    <t>void</t>
  </si>
  <si>
    <t>Case limit</t>
  </si>
  <si>
    <t>type</t>
  </si>
  <si>
    <t>b</t>
  </si>
  <si>
    <t>h</t>
  </si>
  <si>
    <t>x</t>
  </si>
  <si>
    <t>y</t>
  </si>
  <si>
    <t>Sign</t>
  </si>
  <si>
    <t>xo</t>
  </si>
  <si>
    <t>yo</t>
  </si>
  <si>
    <t>Ix</t>
  </si>
  <si>
    <t>Iy</t>
  </si>
  <si>
    <t>Sx top</t>
  </si>
  <si>
    <t>Sx bot</t>
  </si>
  <si>
    <t>Corners</t>
  </si>
  <si>
    <t>Bot Flange Width</t>
  </si>
  <si>
    <t>Bot FLG Thick</t>
  </si>
  <si>
    <t>measured from the top of Section</t>
  </si>
  <si>
    <t># of HL Stiffeners</t>
  </si>
  <si>
    <t>1st Stiffener Depth</t>
  </si>
  <si>
    <t>2nd Stiffener Depth</t>
  </si>
  <si>
    <t>3rd Stiffener Depth</t>
  </si>
  <si>
    <t>Sy-y top</t>
  </si>
  <si>
    <t>Sy-y bot</t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</si>
  <si>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Symbol"/>
        <family val="1"/>
        <charset val="2"/>
      </rPr>
      <t xml:space="preserve"> </t>
    </r>
    <r>
      <rPr>
        <sz val="8"/>
        <color rgb="FF0000FF"/>
        <rFont val="Arial"/>
        <family val="2"/>
      </rPr>
      <t>bending</t>
    </r>
    <r>
      <rPr>
        <sz val="8"/>
        <color rgb="FF0000FF"/>
        <rFont val="Symbol"/>
        <family val="1"/>
        <charset val="2"/>
      </rPr>
      <t>_</t>
    </r>
    <r>
      <rPr>
        <sz val="8"/>
        <color indexed="39"/>
        <rFont val="Arial"/>
        <family val="2"/>
      </rPr>
      <t>y top left</t>
    </r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</si>
  <si>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Symbol"/>
        <family val="1"/>
        <charset val="2"/>
      </rPr>
      <t xml:space="preserve"> </t>
    </r>
    <r>
      <rPr>
        <sz val="8"/>
        <color indexed="39"/>
        <rFont val="Arial"/>
        <family val="2"/>
      </rPr>
      <t>bending_y top right</t>
    </r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</si>
  <si>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Symbol"/>
        <family val="1"/>
        <charset val="2"/>
      </rPr>
      <t xml:space="preserve"> </t>
    </r>
    <r>
      <rPr>
        <sz val="8"/>
        <color indexed="39"/>
        <rFont val="Arial"/>
        <family val="2"/>
      </rPr>
      <t>bending_y bot right</t>
    </r>
  </si>
  <si>
    <r>
      <rPr>
        <sz val="10"/>
        <color rgb="FF0000FF"/>
        <rFont val="Symbol"/>
        <family val="1"/>
        <charset val="2"/>
      </rPr>
      <t>s</t>
    </r>
    <r>
      <rPr>
        <sz val="8"/>
        <color rgb="FF0000FF"/>
        <rFont val="Symbol"/>
        <family val="1"/>
        <charset val="2"/>
      </rPr>
      <t xml:space="preserve"> </t>
    </r>
    <r>
      <rPr>
        <sz val="8"/>
        <color rgb="FF0000FF"/>
        <rFont val="Arial"/>
        <family val="2"/>
      </rPr>
      <t>bending</t>
    </r>
    <r>
      <rPr>
        <sz val="8"/>
        <color rgb="FF0000FF"/>
        <rFont val="Symbol"/>
        <family val="1"/>
        <charset val="2"/>
      </rPr>
      <t>_</t>
    </r>
    <r>
      <rPr>
        <sz val="8"/>
        <color indexed="39"/>
        <rFont val="Arial"/>
        <family val="2"/>
      </rPr>
      <t>y bot left</t>
    </r>
  </si>
  <si>
    <t>hw</t>
  </si>
  <si>
    <t>CL</t>
  </si>
  <si>
    <t>Web</t>
  </si>
  <si>
    <t>Left</t>
  </si>
  <si>
    <t>Right</t>
  </si>
  <si>
    <t>b1</t>
  </si>
  <si>
    <t>b2</t>
  </si>
  <si>
    <t>b3</t>
  </si>
  <si>
    <t>B/t</t>
  </si>
  <si>
    <t>B</t>
  </si>
  <si>
    <t>Top FLG
right</t>
  </si>
  <si>
    <t>Bot FLG
left</t>
  </si>
  <si>
    <t>Bot FLG
right</t>
  </si>
  <si>
    <t>Top FLG
left</t>
  </si>
  <si>
    <t>Be1</t>
  </si>
  <si>
    <t>Be2</t>
  </si>
  <si>
    <t>Cf</t>
  </si>
  <si>
    <t>SQr Fy</t>
  </si>
  <si>
    <t>dw</t>
  </si>
  <si>
    <t>FLG Thick</t>
  </si>
  <si>
    <t>Flange Width</t>
  </si>
  <si>
    <t>Theta</t>
  </si>
  <si>
    <t>n</t>
  </si>
  <si>
    <t>mx</t>
  </si>
  <si>
    <t>my</t>
  </si>
  <si>
    <t>Zeita</t>
  </si>
  <si>
    <t>is web Compact</t>
  </si>
  <si>
    <t>point 0</t>
  </si>
  <si>
    <t>point a</t>
  </si>
  <si>
    <t>point c</t>
  </si>
  <si>
    <t>Web chart</t>
  </si>
  <si>
    <t>Flange</t>
  </si>
  <si>
    <t>Flange chart</t>
  </si>
  <si>
    <t>is flange Compact</t>
  </si>
  <si>
    <t>is section Compact</t>
  </si>
  <si>
    <t>Sy top</t>
  </si>
  <si>
    <t>Sy bot</t>
  </si>
  <si>
    <t>LOCAL BUCKLING RESULTS</t>
  </si>
  <si>
    <t>Elements</t>
  </si>
  <si>
    <t>Epsi</t>
  </si>
  <si>
    <t>Void</t>
  </si>
  <si>
    <t>b/t</t>
  </si>
  <si>
    <t>b/t max</t>
  </si>
  <si>
    <t>Type</t>
  </si>
  <si>
    <t>Class</t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</si>
  <si>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2"/>
      </rPr>
      <t>x-x</t>
    </r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</si>
  <si>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2"/>
      </rPr>
      <t>y-y</t>
    </r>
  </si>
  <si>
    <t>ii</t>
  </si>
  <si>
    <t>P-M INTERACTION RATIO</t>
  </si>
  <si>
    <t>Axial Compression Ratio</t>
  </si>
  <si>
    <t>Axial Tension Ratio</t>
  </si>
  <si>
    <t>SHEAR INTERACTION RATIO</t>
  </si>
  <si>
    <t>CONCLUSION</t>
  </si>
  <si>
    <t>iii</t>
  </si>
  <si>
    <t>Top Flg Left</t>
  </si>
  <si>
    <t>Top Flg Right</t>
  </si>
  <si>
    <t>Bot Flg Left</t>
  </si>
  <si>
    <t>Bot Flg Right</t>
  </si>
  <si>
    <t>SECTION PROPERTIES (Net )</t>
  </si>
  <si>
    <t>ACTUAL STRESSES (NET )</t>
  </si>
  <si>
    <t>iv</t>
  </si>
  <si>
    <t>Rt</t>
  </si>
  <si>
    <t>Compression</t>
  </si>
  <si>
    <t>IR</t>
  </si>
  <si>
    <t>Sy-y top left</t>
  </si>
  <si>
    <t>Sy-y bot left</t>
  </si>
  <si>
    <t>Sy-y top right</t>
  </si>
  <si>
    <t>Sy-y bot right</t>
  </si>
  <si>
    <t>C.G. X-top left</t>
  </si>
  <si>
    <t>C.G. X-bot left</t>
  </si>
  <si>
    <t>C.G. X-top right</t>
  </si>
  <si>
    <t>C.G. X-bot right</t>
  </si>
  <si>
    <t>Aloowable IR</t>
  </si>
  <si>
    <t>&lt;hidden cells</t>
  </si>
  <si>
    <t>IsFlangeCompact(Fy/100,h,tw,Bft,tft,Bfb,tfb,rr,AG21,AG22,2)</t>
  </si>
  <si>
    <t>Mx Ultimate</t>
  </si>
  <si>
    <t>My Ultimate</t>
  </si>
  <si>
    <t>P Ultimate</t>
  </si>
  <si>
    <t>Qy Ultimate</t>
  </si>
  <si>
    <t>Qx Ultimate</t>
  </si>
  <si>
    <t>Stress at Center Lines</t>
  </si>
  <si>
    <t>Q</t>
  </si>
  <si>
    <t>Fe</t>
  </si>
  <si>
    <r>
      <rPr>
        <sz val="10"/>
        <color rgb="FF0000FF"/>
        <rFont val="Symbol"/>
        <family val="1"/>
        <charset val="2"/>
      </rPr>
      <t>f</t>
    </r>
    <r>
      <rPr>
        <sz val="8"/>
        <color indexed="39"/>
        <rFont val="Arial"/>
        <family val="2"/>
      </rPr>
      <t>c Fc</t>
    </r>
    <r>
      <rPr>
        <sz val="8"/>
        <color indexed="39"/>
        <rFont val="Arial"/>
        <family val="1"/>
        <charset val="2"/>
      </rPr>
      <t>r</t>
    </r>
  </si>
  <si>
    <t>Test</t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</si>
  <si>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2"/>
      </rPr>
      <t>c</t>
    </r>
    <r>
      <rPr>
        <sz val="8"/>
        <color indexed="39"/>
        <rFont val="Arial"/>
        <family val="1"/>
        <charset val="2"/>
      </rPr>
      <t xml:space="preserve"> </t>
    </r>
    <r>
      <rPr>
        <sz val="12"/>
        <color rgb="FF0000FF"/>
        <rFont val="Calibri"/>
        <family val="2"/>
      </rPr>
      <t>√</t>
    </r>
    <r>
      <rPr>
        <sz val="8"/>
        <color indexed="39"/>
        <rFont val="Arial"/>
        <family val="1"/>
        <charset val="2"/>
      </rPr>
      <t>Q</t>
    </r>
  </si>
  <si>
    <t>Lp</t>
  </si>
  <si>
    <t>Lr</t>
  </si>
  <si>
    <t>Limit for full plastic bending capacity</t>
  </si>
  <si>
    <t>Limit for inelastic lateral torsional buckling</t>
  </si>
  <si>
    <t>X</t>
  </si>
  <si>
    <t>FL</t>
  </si>
  <si>
    <t>Mp</t>
  </si>
  <si>
    <t>Plastic Moment</t>
  </si>
  <si>
    <t>Mr</t>
  </si>
  <si>
    <t>Limiting buckling Moment</t>
  </si>
  <si>
    <t>Critical elastic Moment</t>
  </si>
  <si>
    <t>Mcr</t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</si>
  <si>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 xml:space="preserve"> web</t>
    </r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</si>
  <si>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 xml:space="preserve"> flange</t>
    </r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</si>
  <si>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>p flange (bending)</t>
    </r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</si>
  <si>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>p web  (bending)</t>
    </r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</si>
  <si>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>r flange  (bending)</t>
    </r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</si>
  <si>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>r web  (bending)</t>
    </r>
  </si>
  <si>
    <t>Nominal Moment for compact Section</t>
  </si>
  <si>
    <t>Mn flange</t>
  </si>
  <si>
    <t>Nominal Moment for Non-compact Section</t>
  </si>
  <si>
    <t>Mn web</t>
  </si>
  <si>
    <t>Nominal Moment for Non-compact Section (flange)</t>
  </si>
  <si>
    <t>Nominal Moment for Non-compact Section (web)</t>
  </si>
  <si>
    <t>Mn compact</t>
  </si>
  <si>
    <t>Mn Non-compact</t>
  </si>
  <si>
    <t>Nominal Moment for slender Section (flange)</t>
  </si>
  <si>
    <t>ar</t>
  </si>
  <si>
    <t>Cpg flange</t>
  </si>
  <si>
    <t>Fcr flange</t>
  </si>
  <si>
    <t>Tension Flange Yield</t>
  </si>
  <si>
    <t>Re</t>
  </si>
  <si>
    <t>m</t>
  </si>
  <si>
    <t>Mn slender</t>
  </si>
  <si>
    <t>Nominal Moment for Slender Section</t>
  </si>
  <si>
    <t>Compression Flange Local Buckling</t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</si>
  <si>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 xml:space="preserve">p flange </t>
    </r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</si>
  <si>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>r flange</t>
    </r>
  </si>
  <si>
    <t>Rpg</t>
  </si>
  <si>
    <t>Compression Flange Lateral Torsional Buckling</t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</si>
  <si>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>p flange LTB</t>
    </r>
  </si>
  <si>
    <t>Cpg flange LTB</t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</si>
  <si>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>r flange LTB</t>
    </r>
  </si>
  <si>
    <t>Fcr flange LTB</t>
  </si>
  <si>
    <t>Mn Slender</t>
  </si>
  <si>
    <t>be flange</t>
  </si>
  <si>
    <t>be web</t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</si>
  <si>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rgb="FF0000FF"/>
        <rFont val="Arial"/>
        <family val="1"/>
        <charset val="2"/>
      </rPr>
      <t>b</t>
    </r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</si>
  <si>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rgb="FF0000FF"/>
        <rFont val="Arial"/>
        <family val="1"/>
        <charset val="2"/>
      </rPr>
      <t>t</t>
    </r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</si>
  <si>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rgb="FF0000FF"/>
        <rFont val="Arial"/>
        <family val="2"/>
      </rPr>
      <t>c</t>
    </r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</si>
  <si>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indexed="39"/>
        <rFont val="Arial"/>
        <family val="2"/>
      </rPr>
      <t>c Pnc</t>
    </r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</si>
  <si>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indexed="39"/>
        <rFont val="Arial"/>
        <family val="2"/>
      </rPr>
      <t>t Pnt</t>
    </r>
  </si>
  <si>
    <t>Iz-z</t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</si>
  <si>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indexed="39"/>
        <rFont val="Arial"/>
        <family val="2"/>
      </rPr>
      <t>b Mn</t>
    </r>
    <r>
      <rPr>
        <b/>
        <sz val="8"/>
        <color indexed="39"/>
        <rFont val="Arial"/>
        <family val="1"/>
        <charset val="2"/>
      </rPr>
      <t xml:space="preserve"> Major</t>
    </r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</si>
  <si>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indexed="39"/>
        <rFont val="Arial"/>
        <family val="2"/>
      </rPr>
      <t>b Mn</t>
    </r>
    <r>
      <rPr>
        <b/>
        <sz val="8"/>
        <color indexed="39"/>
        <rFont val="Arial"/>
        <family val="1"/>
        <charset val="2"/>
      </rPr>
      <t xml:space="preserve"> Minor</t>
    </r>
  </si>
  <si>
    <t>v</t>
  </si>
  <si>
    <t>COMPRESSION STRENGTH</t>
  </si>
  <si>
    <t>TENSION STRENGTH</t>
  </si>
  <si>
    <t>BENDING MOMENT STRENGTH @ MAJOR AXIS (Compact)</t>
  </si>
  <si>
    <t>BENDING MOMENT STRENGTH @ MAJOR AXIS (Non_Compact)</t>
  </si>
  <si>
    <t>BENDING MOMENT STRENGTH @ MINOR AXIS</t>
  </si>
  <si>
    <t>SHEAR STRENGTH</t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</si>
  <si>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rgb="FF0000FF"/>
        <rFont val="Arial"/>
        <family val="1"/>
        <charset val="2"/>
      </rPr>
      <t>v</t>
    </r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</si>
  <si>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indexed="39"/>
        <rFont val="Arial"/>
        <family val="2"/>
      </rPr>
      <t>v V</t>
    </r>
    <r>
      <rPr>
        <b/>
        <sz val="8"/>
        <color indexed="39"/>
        <rFont val="Arial"/>
        <family val="1"/>
        <charset val="2"/>
      </rPr>
      <t xml:space="preserve"> Web</t>
    </r>
  </si>
  <si>
    <t>Vn Web</t>
  </si>
  <si>
    <t>With</t>
  </si>
  <si>
    <t>Without</t>
  </si>
  <si>
    <r>
      <rPr>
        <b/>
        <sz val="10"/>
        <color rgb="FF0000FF"/>
        <rFont val="Symbol"/>
        <family val="1"/>
        <charset val="2"/>
      </rPr>
      <t>f</t>
    </r>
    <r>
      <rPr>
        <b/>
        <sz val="8"/>
        <color indexed="39"/>
        <rFont val="Arial"/>
        <family val="2"/>
      </rPr>
      <t>v V</t>
    </r>
    <r>
      <rPr>
        <b/>
        <sz val="8"/>
        <color indexed="39"/>
        <rFont val="Arial"/>
        <family val="1"/>
        <charset val="2"/>
      </rPr>
      <t xml:space="preserve"> flange</t>
    </r>
  </si>
  <si>
    <t>Vn Flange</t>
  </si>
  <si>
    <t>Total Interaction Ratio (top) 7.1.a</t>
  </si>
  <si>
    <t>Total Interaction Ratio (top) 7.1.b</t>
  </si>
  <si>
    <t>Total Interaction Ratio (top) 7.1.c</t>
  </si>
  <si>
    <t>Interaction Ratio Web</t>
  </si>
  <si>
    <t>Interaction Ratio Flanges</t>
  </si>
  <si>
    <t>BENDING MOMENT STRENGTH @ MAJOR AXIS (Slender)</t>
  </si>
  <si>
    <t>W6x6x15</t>
  </si>
  <si>
    <t>W21x55</t>
  </si>
  <si>
    <t>W6x6x20</t>
  </si>
  <si>
    <t>W6x6x25</t>
  </si>
  <si>
    <r>
      <t>W8x5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x18</t>
    </r>
  </si>
  <si>
    <r>
      <t>W8x5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x21</t>
    </r>
  </si>
  <si>
    <t>W8x8x31</t>
  </si>
  <si>
    <t>W8x8x35</t>
  </si>
  <si>
    <t>W8x8x40</t>
  </si>
  <si>
    <t>W8x8x48</t>
  </si>
  <si>
    <t>W8x8x58</t>
  </si>
  <si>
    <t>W8x8x67</t>
  </si>
  <si>
    <t>10x4x15</t>
  </si>
  <si>
    <t>10x4x17</t>
  </si>
  <si>
    <t>10x4x19</t>
  </si>
  <si>
    <r>
      <t>W10x5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x22</t>
    </r>
  </si>
  <si>
    <r>
      <t>W10x5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x26</t>
    </r>
  </si>
  <si>
    <r>
      <t>W10x5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x30</t>
    </r>
  </si>
  <si>
    <t>W10x10x49</t>
  </si>
  <si>
    <t>W10x10x54</t>
  </si>
  <si>
    <t>W10x10x60</t>
  </si>
  <si>
    <t>W10x10x68</t>
  </si>
  <si>
    <t>W10x10x77</t>
  </si>
  <si>
    <t>W10x10x88</t>
  </si>
  <si>
    <t>W10x10x100</t>
  </si>
  <si>
    <t>W10x10x112</t>
  </si>
  <si>
    <t>W12x4x16</t>
  </si>
  <si>
    <t>W12x4x19</t>
  </si>
  <si>
    <t>W12x4x22</t>
  </si>
  <si>
    <t>W12x12x65</t>
  </si>
  <si>
    <t>W12x12x72</t>
  </si>
  <si>
    <t>W12x12x79</t>
  </si>
  <si>
    <t>W12x12x87</t>
  </si>
  <si>
    <t>W12x12x96</t>
  </si>
  <si>
    <t>W12x12x106</t>
  </si>
  <si>
    <t>W12x12x120</t>
  </si>
  <si>
    <t>W12x12x136</t>
  </si>
  <si>
    <t>W12x12x152</t>
  </si>
  <si>
    <t>W12x12x170</t>
  </si>
  <si>
    <t>W12x12x190</t>
  </si>
  <si>
    <t>W12x12x210</t>
  </si>
  <si>
    <t>W12x12x230</t>
  </si>
  <si>
    <t>W12x12x252</t>
  </si>
  <si>
    <t>W12x12x279</t>
  </si>
  <si>
    <t>W12x12x305</t>
  </si>
  <si>
    <t>W12x12x336</t>
  </si>
  <si>
    <t>W14x5x22</t>
  </si>
  <si>
    <t>W14x5x26</t>
  </si>
  <si>
    <r>
      <t>W14x6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x30</t>
    </r>
  </si>
  <si>
    <r>
      <t>W14x6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x34</t>
    </r>
  </si>
  <si>
    <r>
      <t>W14x6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x38</t>
    </r>
  </si>
  <si>
    <r>
      <t>W14x14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x90</t>
    </r>
  </si>
  <si>
    <r>
      <t>W14x14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x99</t>
    </r>
  </si>
  <si>
    <r>
      <t>W14x14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x109</t>
    </r>
  </si>
  <si>
    <r>
      <t>W14x14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x120</t>
    </r>
  </si>
  <si>
    <r>
      <t>W14x14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x132</t>
    </r>
  </si>
  <si>
    <t>W14x16x145</t>
  </si>
  <si>
    <t>W14x16x159</t>
  </si>
  <si>
    <t>W14x16x176</t>
  </si>
  <si>
    <t>W14x16x193</t>
  </si>
  <si>
    <t>W14x16x211</t>
  </si>
  <si>
    <t>W14x16x219</t>
  </si>
  <si>
    <t>W14x16x233</t>
  </si>
  <si>
    <t>W14x16x257</t>
  </si>
  <si>
    <t>W14x16x283</t>
  </si>
  <si>
    <t>W14x16x311</t>
  </si>
  <si>
    <t>W14x16x342</t>
  </si>
  <si>
    <t>W14x16x370</t>
  </si>
  <si>
    <t>W14x16x398</t>
  </si>
  <si>
    <t>W14x16x426</t>
  </si>
  <si>
    <t>W14x16x455</t>
  </si>
  <si>
    <t>W14x16x500</t>
  </si>
  <si>
    <t>W14x16x550</t>
  </si>
  <si>
    <t>W14x16x605</t>
  </si>
  <si>
    <t>W14x16x665</t>
  </si>
  <si>
    <t>W14x16x730</t>
  </si>
  <si>
    <r>
      <t>W16x5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x26</t>
    </r>
  </si>
  <si>
    <r>
      <t>W16x5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x31</t>
    </r>
  </si>
  <si>
    <t>W16x7x36</t>
  </si>
  <si>
    <t>W16x7x40</t>
  </si>
  <si>
    <t>W16x7x45</t>
  </si>
  <si>
    <t>W16x7x50</t>
  </si>
  <si>
    <t>W16x7x57</t>
  </si>
  <si>
    <t>W18x6x35</t>
  </si>
  <si>
    <t>W18x6x40</t>
  </si>
  <si>
    <t>W18x6x46</t>
  </si>
  <si>
    <r>
      <t>W18x7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x50</t>
    </r>
  </si>
  <si>
    <r>
      <t>W18x7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x55</t>
    </r>
  </si>
  <si>
    <r>
      <t>W18x7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x60</t>
    </r>
  </si>
  <si>
    <r>
      <t>W18x7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x65</t>
    </r>
  </si>
  <si>
    <r>
      <t>W18x7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x71</t>
    </r>
  </si>
  <si>
    <r>
      <t>W21x6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x44</t>
    </r>
  </si>
  <si>
    <r>
      <t>W21x6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x50</t>
    </r>
  </si>
  <si>
    <r>
      <t>W21x6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x57</t>
    </r>
  </si>
  <si>
    <r>
      <t>W21x8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x2</t>
    </r>
  </si>
  <si>
    <r>
      <t>W21x8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x68</t>
    </r>
  </si>
  <si>
    <r>
      <t>W21x8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x73</t>
    </r>
  </si>
  <si>
    <r>
      <t>W21x8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x83</t>
    </r>
  </si>
  <si>
    <r>
      <t>W21x8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x93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</si>
  <si>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x101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</si>
  <si>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x111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</si>
  <si>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x122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</si>
  <si>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x132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</si>
  <si>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x147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</si>
  <si>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x166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</si>
  <si>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x182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</si>
  <si>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x201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</si>
  <si>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x223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</si>
  <si>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x248</t>
    </r>
  </si>
  <si>
    <r>
      <t>W21x12</t>
    </r>
    <r>
      <rPr>
        <vertAlign val="superscript"/>
        <sz val="10"/>
        <rFont val="Arial"/>
        <family val="2"/>
      </rPr>
      <t>1/4</t>
    </r>
    <r>
      <rPr>
        <sz val="10"/>
        <rFont val="Arial"/>
        <family val="2"/>
      </rPr>
      <t>x275</t>
    </r>
  </si>
  <si>
    <t>W24x7x55</t>
  </si>
  <si>
    <t>W24x7x62</t>
  </si>
  <si>
    <t>W24x9x68</t>
  </si>
  <si>
    <t>W24x9x76</t>
  </si>
  <si>
    <t>W24x9x84</t>
  </si>
  <si>
    <t>W24x9x94</t>
  </si>
  <si>
    <t>W24x9x103</t>
  </si>
  <si>
    <t>W24x9x114</t>
  </si>
  <si>
    <t>W24x9x128</t>
  </si>
  <si>
    <t>W24x9x146</t>
  </si>
  <si>
    <t>W24x9x163</t>
  </si>
  <si>
    <t>W24x9x181</t>
  </si>
  <si>
    <t>W24x9x198</t>
  </si>
  <si>
    <t>W24x9x218</t>
  </si>
  <si>
    <t>W24x9x239</t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</si>
  <si>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x104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</si>
  <si>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x117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</si>
  <si>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x131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</si>
  <si>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x146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</si>
  <si>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x162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</si>
  <si>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x176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</si>
  <si>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x192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</si>
  <si>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x207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</si>
  <si>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x229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</si>
  <si>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x250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</si>
  <si>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x279</t>
    </r>
  </si>
  <si>
    <r>
      <t>W24x12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x306</t>
    </r>
  </si>
  <si>
    <t>W27x10x84</t>
  </si>
  <si>
    <t>W27x10x94</t>
  </si>
  <si>
    <t>W27x10x102</t>
  </si>
  <si>
    <t>W27x10x114</t>
  </si>
  <si>
    <t>W27x10x129</t>
  </si>
  <si>
    <t>W27x10x143</t>
  </si>
  <si>
    <t>W27x10x159</t>
  </si>
  <si>
    <t>W27x10x182</t>
  </si>
  <si>
    <t>W27x10x201</t>
  </si>
  <si>
    <t>W27x10x221</t>
  </si>
  <si>
    <t>W27x10x247</t>
  </si>
  <si>
    <t>W27x10x271</t>
  </si>
  <si>
    <t>W27x10x302</t>
  </si>
  <si>
    <t>W27x14x146</t>
  </si>
  <si>
    <t>W27x14x161</t>
  </si>
  <si>
    <t>W27x14x178</t>
  </si>
  <si>
    <t>W27x14x194</t>
  </si>
  <si>
    <t>W27x14x217</t>
  </si>
  <si>
    <t>W27x14x235</t>
  </si>
  <si>
    <t>W27x14x258</t>
  </si>
  <si>
    <t>W27x14x281</t>
  </si>
  <si>
    <t>W27x14x307</t>
  </si>
  <si>
    <t>W27x14x336</t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</si>
  <si>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x90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</si>
  <si>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x99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</si>
  <si>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x108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</si>
  <si>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x116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</si>
  <si>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x124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</si>
  <si>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x132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</si>
  <si>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x148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</si>
  <si>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x165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</si>
  <si>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x185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</si>
  <si>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x207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</si>
  <si>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x226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</si>
  <si>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x246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</si>
  <si>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x269</t>
    </r>
  </si>
  <si>
    <r>
      <t>W30x10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x295</t>
    </r>
  </si>
  <si>
    <t>W30x15x173</t>
  </si>
  <si>
    <t>W30x15x191</t>
  </si>
  <si>
    <t>W30x15x211</t>
  </si>
  <si>
    <t>W30x15x235</t>
  </si>
  <si>
    <t>W30x15x261</t>
  </si>
  <si>
    <t>W30x15x292</t>
  </si>
  <si>
    <t>W30x15x326</t>
  </si>
  <si>
    <t>W30x15x357</t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</si>
  <si>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x118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</si>
  <si>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x130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</si>
  <si>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x141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</si>
  <si>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x152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</si>
  <si>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x169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</si>
  <si>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x187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</si>
  <si>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x204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</si>
  <si>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x219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</si>
  <si>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x243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</si>
  <si>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x271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</si>
  <si>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x301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</si>
  <si>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x332</t>
    </r>
  </si>
  <si>
    <r>
      <t>W33x11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x361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</si>
  <si>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x201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</si>
  <si>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x221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</si>
  <si>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x241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</si>
  <si>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x263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</si>
  <si>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x291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</si>
  <si>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x318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</si>
  <si>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x354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</si>
  <si>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x387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</si>
  <si>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x424</t>
    </r>
  </si>
  <si>
    <r>
      <t>W33x15</t>
    </r>
    <r>
      <rPr>
        <vertAlign val="superscript"/>
        <sz val="10"/>
        <rFont val="Arial"/>
        <family val="2"/>
      </rPr>
      <t>3/4</t>
    </r>
    <r>
      <rPr>
        <sz val="10"/>
        <rFont val="Arial"/>
        <family val="2"/>
      </rPr>
      <t>x468</t>
    </r>
  </si>
  <si>
    <t>W36x12x135</t>
  </si>
  <si>
    <t>W36x12x150</t>
  </si>
  <si>
    <t>W36x12x160</t>
  </si>
  <si>
    <t>W36x12x170</t>
  </si>
  <si>
    <t>W36x12x182</t>
  </si>
  <si>
    <t>W36x12x194</t>
  </si>
  <si>
    <t>W36x12x210</t>
  </si>
  <si>
    <t>W36x12x232</t>
  </si>
  <si>
    <t>W36x12x256</t>
  </si>
  <si>
    <t>W36x12x286</t>
  </si>
  <si>
    <t>W36x12x318</t>
  </si>
  <si>
    <t>W36x12x350</t>
  </si>
  <si>
    <t>W36x12x387</t>
  </si>
  <si>
    <r>
      <t>W36x16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x230</t>
    </r>
  </si>
  <si>
    <r>
      <t>W36x16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x245</t>
    </r>
  </si>
  <si>
    <r>
      <t>W36x16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x260</t>
    </r>
  </si>
  <si>
    <r>
      <t>W36x16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x280</t>
    </r>
  </si>
  <si>
    <r>
      <t>W36x16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x300</t>
    </r>
  </si>
  <si>
    <r>
      <t>W36x16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x328</t>
    </r>
  </si>
  <si>
    <r>
      <t>W36x16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>x359</t>
    </r>
  </si>
  <si>
    <t>W40x12x149</t>
  </si>
  <si>
    <t>W40x12x167</t>
  </si>
  <si>
    <t>W40x12x183</t>
  </si>
  <si>
    <t>W40x12x211</t>
  </si>
  <si>
    <t>W40x12x235</t>
  </si>
  <si>
    <t>W40x12x264</t>
  </si>
  <si>
    <t>W40x12x294</t>
  </si>
  <si>
    <t>W40x12x327</t>
  </si>
  <si>
    <t>W40x12x359</t>
  </si>
  <si>
    <t>HE 1000 M</t>
  </si>
  <si>
    <t>HE 1000 B</t>
  </si>
  <si>
    <t>HE 1000 A</t>
  </si>
  <si>
    <t>HE 1000 AA</t>
  </si>
  <si>
    <t>HE 900 M</t>
  </si>
  <si>
    <t>HE 900 B</t>
  </si>
  <si>
    <t>HE 900 A</t>
  </si>
  <si>
    <t>HE 900 AA</t>
  </si>
  <si>
    <t>HE 800 M</t>
  </si>
  <si>
    <t>HE 800 B</t>
  </si>
  <si>
    <t>HE 800 A</t>
  </si>
  <si>
    <t>HE 800 AA</t>
  </si>
  <si>
    <t>HE 700 M</t>
  </si>
  <si>
    <t>HE 700 B</t>
  </si>
  <si>
    <t>HE 700 A</t>
  </si>
  <si>
    <t>HE 700 x 166</t>
  </si>
  <si>
    <t>HE 700 AA</t>
  </si>
  <si>
    <t>HE 650 M</t>
  </si>
  <si>
    <t>HE 650 B</t>
  </si>
  <si>
    <t>HE 650 A</t>
  </si>
  <si>
    <t>HE 650 AA</t>
  </si>
  <si>
    <t>HE 600 M</t>
  </si>
  <si>
    <t>HE 600 B</t>
  </si>
  <si>
    <t>HE 600 A</t>
  </si>
  <si>
    <t>HE 600 x 175</t>
  </si>
  <si>
    <t>HE 600 x 151</t>
  </si>
  <si>
    <t>HE 600 x 137</t>
  </si>
  <si>
    <t>HE 600 AA</t>
  </si>
  <si>
    <t>HE 550 M</t>
  </si>
  <si>
    <t>HE 550 B</t>
  </si>
  <si>
    <t>HE 550 A</t>
  </si>
  <si>
    <t>HE 550 AA</t>
  </si>
  <si>
    <t>HE 500 M</t>
  </si>
  <si>
    <t>HE 500 B</t>
  </si>
  <si>
    <t>HE 500 A</t>
  </si>
  <si>
    <t>HE 500 AA</t>
  </si>
  <si>
    <t>HE 450 M</t>
  </si>
  <si>
    <t>HE 450 B</t>
  </si>
  <si>
    <t>HE 450 A</t>
  </si>
  <si>
    <t>HE 450 x 124</t>
  </si>
  <si>
    <t>HE450 AA</t>
  </si>
  <si>
    <t>HE 400 M</t>
  </si>
  <si>
    <t>HE 400 B</t>
  </si>
  <si>
    <t>HE 400 A</t>
  </si>
  <si>
    <t>HE 400 x 107</t>
  </si>
  <si>
    <t>HE 400 AA</t>
  </si>
  <si>
    <t>HE 360 M</t>
  </si>
  <si>
    <t>HE 360 B</t>
  </si>
  <si>
    <t>HE 360 A</t>
  </si>
  <si>
    <t>HE 360 AA</t>
  </si>
  <si>
    <t>HE 340 M</t>
  </si>
  <si>
    <t>HE 340 B</t>
  </si>
  <si>
    <t>HE 340 A</t>
  </si>
  <si>
    <t>HE 340 AA</t>
  </si>
  <si>
    <t>HE 320 M</t>
  </si>
  <si>
    <t>HE 320 B</t>
  </si>
  <si>
    <t>HE 320 A</t>
  </si>
  <si>
    <t>HE 320 AA</t>
  </si>
  <si>
    <t>HE 300 M</t>
  </si>
  <si>
    <t>HE 300 C</t>
  </si>
  <si>
    <t>HE 300 B</t>
  </si>
  <si>
    <t>HE 300 A</t>
  </si>
  <si>
    <t>HE 300 AA</t>
  </si>
  <si>
    <t>HE 280 M</t>
  </si>
  <si>
    <t>HE 280 B</t>
  </si>
  <si>
    <t>HE 280 A</t>
  </si>
  <si>
    <t>HE 280 AA</t>
  </si>
  <si>
    <t>HE 260 M</t>
  </si>
  <si>
    <t>HE 260 B</t>
  </si>
  <si>
    <t>HE 260 A</t>
  </si>
  <si>
    <t>HE 260 AA</t>
  </si>
  <si>
    <t>HE 240 M</t>
  </si>
  <si>
    <t>HE 240 B</t>
  </si>
  <si>
    <t>HE 240 A</t>
  </si>
  <si>
    <t>HE 240 AA</t>
  </si>
  <si>
    <t>HE 220 M</t>
  </si>
  <si>
    <t>HE 220 B</t>
  </si>
  <si>
    <t>HE 220 A</t>
  </si>
  <si>
    <t>HE 220 AA</t>
  </si>
  <si>
    <t>HE 200 M</t>
  </si>
  <si>
    <t>HE 200 B</t>
  </si>
  <si>
    <t>HE 200 A</t>
  </si>
  <si>
    <t>HE 200 AA</t>
  </si>
  <si>
    <t>HE 180 M</t>
  </si>
  <si>
    <t>HE 180 B</t>
  </si>
  <si>
    <t>HE 180 A</t>
  </si>
  <si>
    <t>HE 180 AA</t>
  </si>
  <si>
    <t>HE 160 M</t>
  </si>
  <si>
    <t>HE 160 B</t>
  </si>
  <si>
    <t>HE 160 A</t>
  </si>
  <si>
    <t>HE 160 AA</t>
  </si>
  <si>
    <t>HE 140 B</t>
  </si>
  <si>
    <t>HE 140 A</t>
  </si>
  <si>
    <t>HE 140 AA</t>
  </si>
  <si>
    <t>HE 120 B</t>
  </si>
  <si>
    <t>HE 120 A</t>
  </si>
  <si>
    <t>HE 120 AA</t>
  </si>
  <si>
    <t>HE 100 B</t>
  </si>
  <si>
    <t>HE 100 A</t>
  </si>
  <si>
    <t>HE 100 AA</t>
  </si>
  <si>
    <t>IPE 750 x 223</t>
  </si>
  <si>
    <t>IPE 750 x 210</t>
  </si>
  <si>
    <t>IPE 750 x 197</t>
  </si>
  <si>
    <t>IPE 750 x185</t>
  </si>
  <si>
    <t>IPE 750 x 174</t>
  </si>
  <si>
    <t>IPE 750 x 161</t>
  </si>
  <si>
    <t>IPE 750 x 147</t>
  </si>
  <si>
    <t>IPE 750 x 137</t>
  </si>
  <si>
    <t>IPE 600 V</t>
  </si>
  <si>
    <t>IPE 600 R</t>
  </si>
  <si>
    <t>IPE 600 O</t>
  </si>
  <si>
    <t>IPE 600</t>
  </si>
  <si>
    <t>IPE 600 A</t>
  </si>
  <si>
    <t>IPE 550 V</t>
  </si>
  <si>
    <t>IPE 550 R</t>
  </si>
  <si>
    <t>IPE 550 O</t>
  </si>
  <si>
    <t>IPE 550</t>
  </si>
  <si>
    <t>IPE 550 A</t>
  </si>
  <si>
    <t>IPE 500 V</t>
  </si>
  <si>
    <t>IPE 500 R</t>
  </si>
  <si>
    <t>IPE 500 O</t>
  </si>
  <si>
    <t>IPE 500</t>
  </si>
  <si>
    <t>IPE 500 A</t>
  </si>
  <si>
    <t>IPE 450 V</t>
  </si>
  <si>
    <t>IPE 450 R</t>
  </si>
  <si>
    <t>IPE 450 O</t>
  </si>
  <si>
    <t>IPE 450</t>
  </si>
  <si>
    <t>IPE 450 A</t>
  </si>
  <si>
    <t>IPE 400 V</t>
  </si>
  <si>
    <t>IPE 400 R</t>
  </si>
  <si>
    <t>IPE 400 O</t>
  </si>
  <si>
    <t>IPE 400</t>
  </si>
  <si>
    <t>IPE 400 A</t>
  </si>
  <si>
    <t>IPE 360 R</t>
  </si>
  <si>
    <t>IPE 360 O</t>
  </si>
  <si>
    <t>IPE 360</t>
  </si>
  <si>
    <t>IPE 360 A</t>
  </si>
  <si>
    <t>IPE 330 R</t>
  </si>
  <si>
    <t>IPE 330 O</t>
  </si>
  <si>
    <t>IPE 330</t>
  </si>
  <si>
    <t>IPE 330 A</t>
  </si>
  <si>
    <t>IPE 300 R</t>
  </si>
  <si>
    <t>IPE 300O</t>
  </si>
  <si>
    <t>IPE 300</t>
  </si>
  <si>
    <t>IPE 300 A</t>
  </si>
  <si>
    <t>IPE 270 R</t>
  </si>
  <si>
    <t>IPE 270 O</t>
  </si>
  <si>
    <t>IPE 270</t>
  </si>
  <si>
    <t>IPE 270 A</t>
  </si>
  <si>
    <t>IPE 240 R</t>
  </si>
  <si>
    <t>IPE 240 O</t>
  </si>
  <si>
    <t>IPE 240</t>
  </si>
  <si>
    <t>IPE 240 A</t>
  </si>
  <si>
    <t>IPE 220 R</t>
  </si>
  <si>
    <t>IPE 220 O</t>
  </si>
  <si>
    <t>IPE 220</t>
  </si>
  <si>
    <t>IPE 220 A</t>
  </si>
  <si>
    <t>IPE 200 R</t>
  </si>
  <si>
    <t>IPE 200 O</t>
  </si>
  <si>
    <t>IPE 200</t>
  </si>
  <si>
    <t>IPE 200 A</t>
  </si>
  <si>
    <t>IPE 180 R</t>
  </si>
  <si>
    <t>IPE 180 O</t>
  </si>
  <si>
    <t>IPE 180</t>
  </si>
  <si>
    <t>IPE 180 A</t>
  </si>
  <si>
    <t>IPE 160 R</t>
  </si>
  <si>
    <t>IPE 160</t>
  </si>
  <si>
    <t>IPE 160 A</t>
  </si>
  <si>
    <t>IPE 140 R</t>
  </si>
  <si>
    <t>IPE 140</t>
  </si>
  <si>
    <t>IPE 140 A</t>
  </si>
  <si>
    <t>IPE 120</t>
  </si>
  <si>
    <t>IPE 120 A</t>
  </si>
  <si>
    <t>IPE 100</t>
  </si>
  <si>
    <t>IPE 100A</t>
  </si>
  <si>
    <r>
      <t>cm</t>
    </r>
    <r>
      <rPr>
        <vertAlign val="superscript"/>
        <sz val="10"/>
        <rFont val="Arial"/>
        <family val="2"/>
      </rPr>
      <t>2</t>
    </r>
  </si>
  <si>
    <r>
      <t>cm</t>
    </r>
    <r>
      <rPr>
        <vertAlign val="superscript"/>
        <sz val="10"/>
        <rFont val="Arial"/>
        <family val="2"/>
      </rPr>
      <t>4</t>
    </r>
  </si>
  <si>
    <r>
      <t>dm</t>
    </r>
    <r>
      <rPr>
        <vertAlign val="superscript"/>
        <sz val="10"/>
        <rFont val="Arial"/>
        <family val="2"/>
      </rPr>
      <t>6</t>
    </r>
  </si>
  <si>
    <t> </t>
  </si>
  <si>
    <r>
      <t>cm</t>
    </r>
    <r>
      <rPr>
        <vertAlign val="superscript"/>
        <sz val="10"/>
        <rFont val="Arial"/>
        <family val="2"/>
      </rPr>
      <t>3</t>
    </r>
  </si>
  <si>
    <t>cm</t>
  </si>
  <si>
    <t>A</t>
  </si>
  <si>
    <t>J</t>
  </si>
  <si>
    <t>H</t>
  </si>
  <si>
    <t>u</t>
  </si>
  <si>
    <r>
      <t>S</t>
    </r>
    <r>
      <rPr>
        <vertAlign val="subscript"/>
        <sz val="10"/>
        <rFont val="Arial"/>
        <family val="2"/>
      </rPr>
      <t>y</t>
    </r>
  </si>
  <si>
    <r>
      <t>S</t>
    </r>
    <r>
      <rPr>
        <vertAlign val="subscript"/>
        <sz val="10"/>
        <rFont val="Arial"/>
        <family val="2"/>
      </rPr>
      <t>x</t>
    </r>
  </si>
  <si>
    <r>
      <t>Z</t>
    </r>
    <r>
      <rPr>
        <vertAlign val="subscript"/>
        <sz val="10"/>
        <rFont val="Arial"/>
        <family val="2"/>
      </rPr>
      <t>y</t>
    </r>
  </si>
  <si>
    <r>
      <t>Z</t>
    </r>
    <r>
      <rPr>
        <vertAlign val="subscript"/>
        <sz val="10"/>
        <rFont val="Arial"/>
        <family val="2"/>
      </rPr>
      <t>x</t>
    </r>
  </si>
  <si>
    <r>
      <t>r</t>
    </r>
    <r>
      <rPr>
        <vertAlign val="subscript"/>
        <sz val="10"/>
        <rFont val="Arial"/>
        <family val="2"/>
      </rPr>
      <t>y</t>
    </r>
  </si>
  <si>
    <r>
      <t>r</t>
    </r>
    <r>
      <rPr>
        <vertAlign val="subscript"/>
        <sz val="10"/>
        <rFont val="Arial"/>
        <family val="2"/>
      </rPr>
      <t>x</t>
    </r>
  </si>
  <si>
    <r>
      <t>I</t>
    </r>
    <r>
      <rPr>
        <vertAlign val="subscript"/>
        <sz val="10"/>
        <rFont val="Arial"/>
        <family val="2"/>
      </rPr>
      <t>y</t>
    </r>
  </si>
  <si>
    <r>
      <t>I</t>
    </r>
    <r>
      <rPr>
        <vertAlign val="subscript"/>
        <sz val="10"/>
        <rFont val="Arial"/>
        <family val="2"/>
      </rPr>
      <t>x</t>
    </r>
  </si>
  <si>
    <t>d/s</t>
  </si>
  <si>
    <t>b/2t</t>
  </si>
  <si>
    <t>d</t>
  </si>
  <si>
    <t>r</t>
  </si>
  <si>
    <t>t</t>
  </si>
  <si>
    <t>s</t>
  </si>
  <si>
    <t>Section</t>
  </si>
  <si>
    <t>Axis y-y</t>
  </si>
  <si>
    <t>Axis x-x</t>
  </si>
  <si>
    <t>fillets</t>
  </si>
  <si>
    <t>metre</t>
  </si>
  <si>
    <t>Designation</t>
  </si>
  <si>
    <t>of</t>
  </si>
  <si>
    <t>Constant</t>
  </si>
  <si>
    <t>Index</t>
  </si>
  <si>
    <t>Parameter</t>
  </si>
  <si>
    <t>Modulus</t>
  </si>
  <si>
    <t>of Gyration</t>
  </si>
  <si>
    <t>of Area</t>
  </si>
  <si>
    <t>Local Buckling</t>
  </si>
  <si>
    <t>between</t>
  </si>
  <si>
    <t>Radius</t>
  </si>
  <si>
    <t>per</t>
  </si>
  <si>
    <t>Torsional</t>
  </si>
  <si>
    <t>Warping</t>
  </si>
  <si>
    <t>Buckling</t>
  </si>
  <si>
    <t>Plastic</t>
  </si>
  <si>
    <t>Elastic</t>
  </si>
  <si>
    <t>Second Moment</t>
  </si>
  <si>
    <t>Ratios for</t>
  </si>
  <si>
    <t>Depth</t>
  </si>
  <si>
    <t>Root</t>
  </si>
  <si>
    <t>Thickness of</t>
  </si>
  <si>
    <t>Width</t>
  </si>
  <si>
    <t>Mass</t>
  </si>
  <si>
    <t>Nominal Moment for compact Section LTB</t>
  </si>
  <si>
    <t>Mn LTB</t>
  </si>
  <si>
    <t>Nominal Moment for Non-compact Section LTB</t>
  </si>
  <si>
    <t>Mn</t>
  </si>
  <si>
    <t>Issued for Verification Only</t>
  </si>
  <si>
    <t>Tension</t>
  </si>
  <si>
    <t>Bending_x Ratio (comp)</t>
  </si>
  <si>
    <t>Bending_y Ratio (comp)</t>
  </si>
  <si>
    <t>Bending_x Ratio (tension)</t>
  </si>
  <si>
    <t>Bending_y Ratio (tension)</t>
  </si>
  <si>
    <t>BENDING MOMENT STRENGTH @ MAJOR AXIS (Compression Side)</t>
  </si>
  <si>
    <t>BENDING MOMENT STRENGTH @ MINOR AXIS (Compression Side)</t>
  </si>
  <si>
    <t>BENDING MOMENT STRENGTH @ MAJOR AXIS (Tension Side)</t>
  </si>
  <si>
    <t>BENDING MOMENT STRENGTH @ MINOR AXIS (Tension Side)</t>
  </si>
  <si>
    <t>Plastic Moment (for compact flange)</t>
  </si>
  <si>
    <t>Limiting Moment (for non-compact flange)</t>
  </si>
  <si>
    <t>Mn non-compact</t>
  </si>
  <si>
    <r>
      <t>CHECK OF STEEL BEAM/COLUMN (ECP-LRFD)</t>
    </r>
    <r>
      <rPr>
        <b/>
        <vertAlign val="superscript"/>
        <sz val="12"/>
        <rFont val="Arial"/>
        <family val="2"/>
      </rPr>
      <t>3.08</t>
    </r>
    <r>
      <rPr>
        <b/>
        <sz val="12"/>
        <rFont val="Arial"/>
        <family val="2"/>
      </rPr>
      <t xml:space="preserve">
Rolled I-BEAM Sections</t>
    </r>
  </si>
  <si>
    <r>
      <rPr>
        <sz val="10"/>
        <color rgb="FF0000FF"/>
        <rFont val="Symbol"/>
        <family val="1"/>
        <charset val="2"/>
      </rPr>
      <t>l</t>
    </r>
    <r>
      <rPr>
        <sz val="8"/>
        <color indexed="39"/>
        <rFont val="Arial"/>
        <family val="1"/>
        <charset val="2"/>
      </rPr>
      <t xml:space="preserve">LTB </t>
    </r>
  </si>
  <si>
    <t>Fillet Radius</t>
  </si>
  <si>
    <t>Limiting Moment (for slender flange)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</si>
</sst>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d\-mmm\-yy;@"/>
    <numFmt numFmtId="165" formatCode="#\ ##0.0"/>
    <numFmt numFmtId="166" formatCode="#\ ##0"/>
    <numFmt numFmtId="167" formatCode="0.000"/>
    <numFmt numFmtId="168" formatCode="0.0"/>
    <numFmt numFmtId="169" formatCode="0.000E+00"/>
    <numFmt numFmtId="170" formatCode="0.0000"/>
    <numFmt numFmtId="171" formatCode="0.0000000"/>
    <numFmt numFmtId="172" formatCode="#,##0.000"/>
  </numFmts>
  <fonts count="49">
    <font>
      <sz val="10"/>
      <name val="Arial"/>
      <charset val="178"/>
    </font>
    <font>
      <sz val="9"/>
      <name val="Times New Roman"/>
      <family val="1"/>
    </font>
    <font>
      <b/>
      <sz val="14"/>
      <name val="Times New Roman"/>
      <family val="1"/>
    </font>
    <font>
      <sz val="8"/>
      <name val="Times New Roman"/>
      <family val="1"/>
    </font>
    <font>
      <sz val="9"/>
      <color indexed="12"/>
      <name val="Times New Roman"/>
      <family val="1"/>
    </font>
    <font>
      <b/>
      <i/>
      <sz val="10"/>
      <name val="Bradley Hand ITC"/>
      <family val="4"/>
    </font>
    <font>
      <b/>
      <i/>
      <sz val="14"/>
      <name val="Bradley Hand ITC"/>
      <family val="4"/>
    </font>
    <font>
      <b/>
      <i/>
      <sz val="8"/>
      <name val="Bradley Hand ITC"/>
      <family val="4"/>
    </font>
    <font>
      <sz val="12"/>
      <name val="Times New Roman"/>
      <family val="1"/>
    </font>
    <font>
      <sz val="10"/>
      <name val="Times New Roman"/>
      <family val="1"/>
    </font>
    <font>
      <sz val="6"/>
      <name val="Arial"/>
      <family val="2"/>
    </font>
    <font>
      <i/>
      <sz val="10"/>
      <name val="Arial"/>
      <family val="2"/>
    </font>
    <font>
      <i/>
      <sz val="12"/>
      <name val="Arial"/>
      <family val="2"/>
    </font>
    <font>
      <i/>
      <sz val="8"/>
      <name val="Arial"/>
      <family val="2"/>
    </font>
    <font>
      <i/>
      <sz val="8"/>
      <color indexed="10"/>
      <name val="Arial"/>
      <family val="2"/>
    </font>
    <font>
      <b/>
      <i/>
      <sz val="8"/>
      <name val="Arial"/>
      <family val="2"/>
    </font>
    <font>
      <b/>
      <sz val="36"/>
      <color rgb="FF0000FF"/>
      <name val="Lucida Calligraphy"/>
      <family val="4"/>
    </font>
    <font>
      <sz val="10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sz val="8"/>
      <name val="Arial"/>
      <family val="2"/>
      <charset val="178"/>
    </font>
    <font>
      <b/>
      <sz val="8"/>
      <name val="Arial"/>
      <family val="2"/>
    </font>
    <font>
      <sz val="8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8"/>
      <color indexed="39"/>
      <name val="Arial"/>
      <family val="1"/>
      <charset val="2"/>
    </font>
    <font>
      <sz val="10"/>
      <color rgb="FF0000FF"/>
      <name val="Symbol"/>
      <family val="1"/>
      <charset val="2"/>
    </font>
    <font>
      <sz val="8"/>
      <color rgb="FF0000FF"/>
      <name val="Symbol"/>
      <family val="1"/>
      <charset val="2"/>
    </font>
    <font>
      <sz val="8"/>
      <color rgb="FFFF0000"/>
      <name val="Arial"/>
      <family val="2"/>
    </font>
    <font>
      <sz val="8"/>
      <color rgb="FF0000FF"/>
      <name val="Arial"/>
      <family val="2"/>
    </font>
    <font>
      <sz val="8"/>
      <color rgb="FF0000FF"/>
      <name val="Arial"/>
      <family val="1"/>
      <charset val="2"/>
    </font>
    <font>
      <b/>
      <i/>
      <sz val="8"/>
      <color rgb="FFFF0000"/>
      <name val="Arial"/>
      <family val="2"/>
    </font>
    <font>
      <b/>
      <sz val="8"/>
      <color rgb="FFFF0000"/>
      <name val="Arial"/>
      <family val="2"/>
    </font>
    <font>
      <b/>
      <u/>
      <sz val="8"/>
      <color indexed="39"/>
      <name val="Arial"/>
      <family val="2"/>
    </font>
    <font>
      <sz val="18"/>
      <color indexed="39"/>
      <name val="Arial"/>
      <family val="2"/>
    </font>
    <font>
      <sz val="8"/>
      <color theme="0"/>
      <name val="Arial"/>
      <family val="2"/>
    </font>
    <font>
      <b/>
      <i/>
      <sz val="10"/>
      <color theme="0"/>
      <name val="Bradley Hand ITC"/>
      <family val="4"/>
    </font>
    <font>
      <sz val="12"/>
      <color rgb="FF0000FF"/>
      <name val="Calibri"/>
      <family val="2"/>
    </font>
    <font>
      <b/>
      <u/>
      <sz val="8"/>
      <name val="Arial"/>
      <family val="2"/>
    </font>
    <font>
      <b/>
      <sz val="8"/>
      <color rgb="FF0000FF"/>
      <name val="Arial"/>
      <family val="1"/>
      <charset val="2"/>
    </font>
    <font>
      <b/>
      <sz val="10"/>
      <color rgb="FF0000FF"/>
      <name val="Symbol"/>
      <family val="1"/>
      <charset val="2"/>
    </font>
    <font>
      <b/>
      <sz val="8"/>
      <color indexed="10"/>
      <name val="Arial"/>
      <family val="2"/>
    </font>
    <font>
      <b/>
      <sz val="8"/>
      <color indexed="39"/>
      <name val="Arial"/>
      <family val="2"/>
    </font>
    <font>
      <b/>
      <sz val="8"/>
      <color indexed="39"/>
      <name val="Arial"/>
      <family val="1"/>
      <charset val="2"/>
    </font>
    <font>
      <b/>
      <sz val="8"/>
      <color rgb="FF0000FF"/>
      <name val="Arial"/>
      <family val="2"/>
    </font>
    <font>
      <b/>
      <i/>
      <u val="double"/>
      <sz val="8"/>
      <color rgb="FFFF000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sz val="9"/>
      <color rgb="FFFF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7" fillId="0" borderId="0" applyFont="0" applyFill="0" applyBorder="0" applyAlignment="0" applyProtection="0"/>
    <xf numFmtId="0" fontId="17" fillId="0" borderId="0"/>
  </cellStyleXfs>
  <cellXfs count="315">
    <xf numFmtId="0" fontId="0" fillId="0" borderId="0" xfId="0"/>
    <xf numFmtId="0" fontId="7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horizontal="left" vertical="center"/>
    </xf>
    <xf numFmtId="0" fontId="8" fillId="0" borderId="0" xfId="0" applyFont="1" applyBorder="1" applyAlignment="1" applyProtection="1">
      <alignment horizontal="left" vertical="center"/>
    </xf>
    <xf numFmtId="0" fontId="9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center"/>
    </xf>
    <xf numFmtId="0" fontId="3" fillId="0" borderId="0" xfId="0" applyFont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2" fontId="5" fillId="0" borderId="0" xfId="0" applyNumberFormat="1" applyFont="1" applyAlignment="1" applyProtection="1">
      <alignment vertical="center"/>
    </xf>
    <xf numFmtId="0" fontId="10" fillId="0" borderId="0" xfId="0" applyFont="1" applyAlignment="1" applyProtection="1">
      <alignment horizontal="center" vertical="center"/>
    </xf>
    <xf numFmtId="0" fontId="11" fillId="0" borderId="14" xfId="0" applyFont="1" applyBorder="1" applyAlignment="1" applyProtection="1">
      <alignment horizontal="left" vertical="center"/>
    </xf>
    <xf numFmtId="0" fontId="11" fillId="0" borderId="7" xfId="0" applyFont="1" applyBorder="1" applyAlignment="1" applyProtection="1">
      <alignment horizontal="left" vertical="center"/>
    </xf>
    <xf numFmtId="0" fontId="11" fillId="0" borderId="7" xfId="0" applyFont="1" applyBorder="1" applyAlignment="1" applyProtection="1">
      <alignment horizontal="center" vertical="center"/>
    </xf>
    <xf numFmtId="0" fontId="11" fillId="0" borderId="15" xfId="0" applyFont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 wrapText="1"/>
    </xf>
    <xf numFmtId="0" fontId="12" fillId="0" borderId="2" xfId="0" applyFont="1" applyBorder="1" applyAlignment="1" applyProtection="1">
      <alignment vertical="top" wrapText="1"/>
    </xf>
    <xf numFmtId="0" fontId="12" fillId="0" borderId="3" xfId="0" applyFont="1" applyBorder="1" applyAlignment="1" applyProtection="1">
      <alignment vertical="top" wrapText="1"/>
    </xf>
    <xf numFmtId="0" fontId="7" fillId="0" borderId="0" xfId="0" applyFont="1" applyAlignment="1" applyProtection="1">
      <alignment horizontal="center" vertical="center" wrapText="1"/>
    </xf>
    <xf numFmtId="0" fontId="11" fillId="0" borderId="2" xfId="0" applyFont="1" applyBorder="1" applyAlignment="1" applyProtection="1">
      <alignment horizontal="center" vertical="center"/>
    </xf>
    <xf numFmtId="1" fontId="11" fillId="0" borderId="3" xfId="0" applyNumberFormat="1" applyFont="1" applyBorder="1" applyAlignment="1" applyProtection="1">
      <alignment vertical="center"/>
    </xf>
    <xf numFmtId="0" fontId="13" fillId="0" borderId="2" xfId="0" applyFont="1" applyBorder="1" applyAlignment="1" applyProtection="1">
      <alignment vertical="center"/>
    </xf>
    <xf numFmtId="0" fontId="13" fillId="0" borderId="0" xfId="0" applyFont="1" applyBorder="1" applyAlignment="1" applyProtection="1">
      <alignment horizontal="center" vertical="center"/>
    </xf>
    <xf numFmtId="1" fontId="13" fillId="0" borderId="3" xfId="0" applyNumberFormat="1" applyFont="1" applyBorder="1" applyAlignment="1" applyProtection="1">
      <alignment vertical="center"/>
    </xf>
    <xf numFmtId="1" fontId="13" fillId="0" borderId="2" xfId="0" applyNumberFormat="1" applyFont="1" applyBorder="1" applyAlignment="1" applyProtection="1">
      <alignment vertical="center"/>
    </xf>
    <xf numFmtId="0" fontId="13" fillId="0" borderId="3" xfId="0" applyFont="1" applyBorder="1" applyAlignment="1" applyProtection="1">
      <alignment vertical="center"/>
    </xf>
    <xf numFmtId="0" fontId="13" fillId="0" borderId="2" xfId="0" applyFont="1" applyBorder="1" applyAlignment="1" applyProtection="1">
      <alignment horizontal="center" vertical="center"/>
    </xf>
    <xf numFmtId="0" fontId="14" fillId="0" borderId="3" xfId="0" applyFont="1" applyBorder="1" applyAlignment="1" applyProtection="1">
      <alignment horizontal="left" vertical="center"/>
    </xf>
    <xf numFmtId="0" fontId="13" fillId="0" borderId="3" xfId="0" applyFont="1" applyBorder="1" applyAlignment="1" applyProtection="1">
      <alignment horizontal="left" vertical="center"/>
    </xf>
    <xf numFmtId="0" fontId="13" fillId="0" borderId="4" xfId="0" applyFont="1" applyBorder="1" applyAlignment="1" applyProtection="1">
      <alignment vertical="center"/>
    </xf>
    <xf numFmtId="1" fontId="13" fillId="0" borderId="5" xfId="0" applyNumberFormat="1" applyFont="1" applyBorder="1" applyAlignment="1" applyProtection="1">
      <alignment vertical="center"/>
    </xf>
    <xf numFmtId="1" fontId="13" fillId="0" borderId="6" xfId="0" applyNumberFormat="1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vertical="center"/>
    </xf>
    <xf numFmtId="0" fontId="13" fillId="0" borderId="0" xfId="0" applyFont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  <protection hidden="1"/>
    </xf>
    <xf numFmtId="0" fontId="22" fillId="0" borderId="0" xfId="0" applyFont="1" applyAlignment="1" applyProtection="1">
      <alignment vertical="center"/>
      <protection hidden="1"/>
    </xf>
    <xf numFmtId="0" fontId="22" fillId="0" borderId="0" xfId="0" applyFont="1" applyAlignment="1" applyProtection="1">
      <alignment horizontal="right" vertical="center"/>
      <protection hidden="1"/>
    </xf>
    <xf numFmtId="0" fontId="22" fillId="0" borderId="0" xfId="0" applyFont="1" applyAlignment="1" applyProtection="1">
      <alignment horizontal="left" vertical="center"/>
      <protection hidden="1"/>
    </xf>
    <xf numFmtId="0" fontId="22" fillId="0" borderId="0" xfId="0" quotePrefix="1" applyFont="1" applyAlignment="1" applyProtection="1">
      <alignment horizontal="left" vertical="center"/>
      <protection hidden="1"/>
    </xf>
    <xf numFmtId="0" fontId="24" fillId="0" borderId="0" xfId="0" applyFont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horizontal="center" vertical="center"/>
    </xf>
    <xf numFmtId="0" fontId="25" fillId="0" borderId="0" xfId="0" applyFont="1" applyAlignment="1" applyProtection="1">
      <alignment vertical="center"/>
      <protection hidden="1"/>
    </xf>
    <xf numFmtId="0" fontId="21" fillId="0" borderId="0" xfId="0" applyFont="1" applyFill="1" applyBorder="1" applyAlignment="1" applyProtection="1">
      <alignment vertical="center"/>
      <protection hidden="1"/>
    </xf>
    <xf numFmtId="0" fontId="30" fillId="0" borderId="0" xfId="0" applyFont="1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 wrapText="1"/>
    </xf>
    <xf numFmtId="1" fontId="13" fillId="0" borderId="0" xfId="0" applyNumberFormat="1" applyFont="1" applyBorder="1" applyAlignment="1" applyProtection="1">
      <alignment vertical="center"/>
    </xf>
    <xf numFmtId="1" fontId="13" fillId="0" borderId="3" xfId="0" applyNumberFormat="1" applyFont="1" applyBorder="1" applyAlignment="1" applyProtection="1">
      <alignment horizontal="center" vertical="center"/>
    </xf>
    <xf numFmtId="1" fontId="15" fillId="0" borderId="0" xfId="0" applyNumberFormat="1" applyFont="1" applyBorder="1" applyAlignment="1" applyProtection="1">
      <alignment vertical="center"/>
    </xf>
    <xf numFmtId="167" fontId="15" fillId="0" borderId="0" xfId="0" applyNumberFormat="1" applyFont="1" applyBorder="1" applyAlignment="1" applyProtection="1">
      <alignment vertical="center"/>
    </xf>
    <xf numFmtId="167" fontId="15" fillId="0" borderId="0" xfId="0" applyNumberFormat="1" applyFont="1" applyAlignment="1" applyProtection="1">
      <alignment vertical="center"/>
    </xf>
    <xf numFmtId="168" fontId="15" fillId="0" borderId="0" xfId="0" applyNumberFormat="1" applyFont="1" applyAlignment="1" applyProtection="1">
      <alignment vertical="center"/>
    </xf>
    <xf numFmtId="2" fontId="15" fillId="0" borderId="0" xfId="0" applyNumberFormat="1" applyFont="1" applyAlignment="1" applyProtection="1">
      <alignment vertical="center"/>
    </xf>
    <xf numFmtId="0" fontId="15" fillId="2" borderId="0" xfId="0" applyFont="1" applyFill="1" applyAlignment="1" applyProtection="1">
      <alignment vertical="center"/>
    </xf>
    <xf numFmtId="3" fontId="15" fillId="0" borderId="0" xfId="0" applyNumberFormat="1" applyFont="1" applyAlignment="1" applyProtection="1">
      <alignment vertical="center"/>
    </xf>
    <xf numFmtId="0" fontId="22" fillId="0" borderId="1" xfId="0" applyFont="1" applyBorder="1" applyAlignment="1" applyProtection="1">
      <alignment vertical="center"/>
      <protection hidden="1"/>
    </xf>
    <xf numFmtId="169" fontId="7" fillId="0" borderId="0" xfId="0" applyNumberFormat="1" applyFont="1" applyAlignment="1" applyProtection="1">
      <alignment vertical="center"/>
    </xf>
    <xf numFmtId="167" fontId="15" fillId="2" borderId="0" xfId="0" applyNumberFormat="1" applyFont="1" applyFill="1" applyAlignment="1" applyProtection="1">
      <alignment vertical="center"/>
    </xf>
    <xf numFmtId="170" fontId="15" fillId="2" borderId="0" xfId="0" applyNumberFormat="1" applyFont="1" applyFill="1" applyBorder="1" applyAlignment="1" applyProtection="1">
      <alignment vertical="center"/>
    </xf>
    <xf numFmtId="0" fontId="15" fillId="2" borderId="0" xfId="0" applyFont="1" applyFill="1" applyBorder="1" applyAlignment="1" applyProtection="1">
      <alignment vertical="center"/>
    </xf>
    <xf numFmtId="168" fontId="15" fillId="2" borderId="0" xfId="0" applyNumberFormat="1" applyFont="1" applyFill="1" applyBorder="1" applyAlignment="1" applyProtection="1">
      <alignment vertical="center"/>
    </xf>
    <xf numFmtId="171" fontId="15" fillId="2" borderId="0" xfId="0" applyNumberFormat="1" applyFont="1" applyFill="1" applyBorder="1" applyAlignment="1" applyProtection="1">
      <alignment vertical="center"/>
    </xf>
    <xf numFmtId="170" fontId="15" fillId="2" borderId="26" xfId="0" applyNumberFormat="1" applyFont="1" applyFill="1" applyBorder="1" applyAlignment="1" applyProtection="1">
      <alignment vertical="center"/>
    </xf>
    <xf numFmtId="0" fontId="15" fillId="2" borderId="26" xfId="0" applyFont="1" applyFill="1" applyBorder="1" applyAlignment="1" applyProtection="1">
      <alignment vertical="center"/>
    </xf>
    <xf numFmtId="170" fontId="15" fillId="2" borderId="27" xfId="0" applyNumberFormat="1" applyFont="1" applyFill="1" applyBorder="1" applyAlignment="1" applyProtection="1">
      <alignment vertical="center"/>
    </xf>
    <xf numFmtId="0" fontId="15" fillId="2" borderId="27" xfId="0" applyFont="1" applyFill="1" applyBorder="1" applyAlignment="1" applyProtection="1">
      <alignment vertical="center"/>
    </xf>
    <xf numFmtId="168" fontId="15" fillId="2" borderId="27" xfId="0" applyNumberFormat="1" applyFont="1" applyFill="1" applyBorder="1" applyAlignment="1" applyProtection="1">
      <alignment vertical="center"/>
    </xf>
    <xf numFmtId="170" fontId="15" fillId="7" borderId="27" xfId="0" applyNumberFormat="1" applyFont="1" applyFill="1" applyBorder="1" applyAlignment="1" applyProtection="1">
      <alignment vertical="center"/>
    </xf>
    <xf numFmtId="0" fontId="15" fillId="7" borderId="27" xfId="0" applyFont="1" applyFill="1" applyBorder="1" applyAlignment="1" applyProtection="1">
      <alignment vertical="center"/>
    </xf>
    <xf numFmtId="168" fontId="15" fillId="7" borderId="27" xfId="0" applyNumberFormat="1" applyFont="1" applyFill="1" applyBorder="1" applyAlignment="1" applyProtection="1">
      <alignment vertical="center"/>
    </xf>
    <xf numFmtId="171" fontId="15" fillId="7" borderId="0" xfId="0" applyNumberFormat="1" applyFont="1" applyFill="1" applyBorder="1" applyAlignment="1" applyProtection="1">
      <alignment vertical="center"/>
    </xf>
    <xf numFmtId="0" fontId="15" fillId="7" borderId="0" xfId="0" applyFont="1" applyFill="1" applyBorder="1" applyAlignment="1" applyProtection="1">
      <alignment vertical="center"/>
    </xf>
    <xf numFmtId="170" fontId="15" fillId="7" borderId="26" xfId="0" applyNumberFormat="1" applyFont="1" applyFill="1" applyBorder="1" applyAlignment="1" applyProtection="1">
      <alignment vertical="center"/>
    </xf>
    <xf numFmtId="0" fontId="15" fillId="7" borderId="26" xfId="0" applyFont="1" applyFill="1" applyBorder="1" applyAlignment="1" applyProtection="1">
      <alignment vertical="center"/>
    </xf>
    <xf numFmtId="0" fontId="15" fillId="7" borderId="0" xfId="0" applyFont="1" applyFill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31" fillId="0" borderId="0" xfId="0" applyFont="1" applyAlignment="1" applyProtection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14" xfId="0" applyFont="1" applyBorder="1" applyAlignment="1">
      <alignment horizontal="left" vertical="center"/>
    </xf>
    <xf numFmtId="0" fontId="24" fillId="0" borderId="7" xfId="0" applyFont="1" applyBorder="1" applyAlignment="1">
      <alignment horizontal="left" vertical="center"/>
    </xf>
    <xf numFmtId="0" fontId="24" fillId="0" borderId="7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4" fillId="0" borderId="0" xfId="0" applyFont="1" applyAlignment="1">
      <alignment horizontal="center" vertical="center" wrapText="1"/>
    </xf>
    <xf numFmtId="0" fontId="24" fillId="0" borderId="2" xfId="0" applyFont="1" applyBorder="1" applyAlignment="1">
      <alignment vertical="top" wrapText="1"/>
    </xf>
    <xf numFmtId="0" fontId="24" fillId="0" borderId="3" xfId="0" applyFont="1" applyBorder="1" applyAlignment="1">
      <alignment vertical="top" wrapText="1"/>
    </xf>
    <xf numFmtId="0" fontId="24" fillId="0" borderId="2" xfId="0" applyFont="1" applyBorder="1" applyAlignment="1">
      <alignment horizontal="center" vertical="center"/>
    </xf>
    <xf numFmtId="1" fontId="24" fillId="0" borderId="3" xfId="0" applyNumberFormat="1" applyFont="1" applyBorder="1" applyAlignment="1">
      <alignment vertical="center"/>
    </xf>
    <xf numFmtId="167" fontId="15" fillId="0" borderId="0" xfId="0" applyNumberFormat="1" applyFont="1" applyAlignment="1">
      <alignment vertical="center"/>
    </xf>
    <xf numFmtId="0" fontId="24" fillId="0" borderId="2" xfId="0" applyFont="1" applyBorder="1" applyAlignment="1">
      <alignment vertical="center"/>
    </xf>
    <xf numFmtId="1" fontId="13" fillId="0" borderId="0" xfId="0" applyNumberFormat="1" applyFont="1" applyAlignment="1">
      <alignment vertical="center"/>
    </xf>
    <xf numFmtId="1" fontId="24" fillId="0" borderId="2" xfId="0" applyNumberFormat="1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3" xfId="0" applyFont="1" applyBorder="1" applyAlignment="1">
      <alignment vertical="center"/>
    </xf>
    <xf numFmtId="167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0" fontId="21" fillId="0" borderId="0" xfId="0" applyFont="1" applyAlignment="1" applyProtection="1">
      <alignment vertical="center"/>
      <protection hidden="1"/>
    </xf>
    <xf numFmtId="3" fontId="15" fillId="0" borderId="0" xfId="0" applyNumberFormat="1" applyFont="1" applyAlignment="1">
      <alignment vertical="center"/>
    </xf>
    <xf numFmtId="0" fontId="23" fillId="0" borderId="0" xfId="0" applyFont="1" applyAlignment="1" applyProtection="1">
      <alignment vertical="center"/>
      <protection hidden="1"/>
    </xf>
    <xf numFmtId="0" fontId="24" fillId="0" borderId="4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22" fillId="0" borderId="5" xfId="0" applyFont="1" applyBorder="1" applyAlignment="1" applyProtection="1">
      <alignment vertical="center"/>
      <protection hidden="1"/>
    </xf>
    <xf numFmtId="1" fontId="13" fillId="0" borderId="6" xfId="0" applyNumberFormat="1" applyFont="1" applyBorder="1" applyAlignment="1">
      <alignment horizontal="center" vertical="center"/>
    </xf>
    <xf numFmtId="0" fontId="32" fillId="0" borderId="0" xfId="0" applyFont="1" applyBorder="1" applyAlignment="1">
      <alignment vertical="center" textRotation="90" wrapText="1"/>
    </xf>
    <xf numFmtId="0" fontId="15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167" fontId="15" fillId="8" borderId="0" xfId="0" applyNumberFormat="1" applyFont="1" applyFill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2" fontId="23" fillId="0" borderId="0" xfId="0" applyNumberFormat="1" applyFont="1" applyAlignment="1" applyProtection="1">
      <alignment vertical="center"/>
      <protection hidden="1"/>
    </xf>
    <xf numFmtId="1" fontId="23" fillId="0" borderId="0" xfId="0" applyNumberFormat="1" applyFont="1" applyAlignment="1" applyProtection="1">
      <alignment vertical="center"/>
      <protection hidden="1"/>
    </xf>
    <xf numFmtId="0" fontId="35" fillId="0" borderId="0" xfId="0" applyFont="1" applyFill="1" applyBorder="1" applyAlignment="1" applyProtection="1">
      <alignment vertical="center"/>
      <protection hidden="1"/>
    </xf>
    <xf numFmtId="0" fontId="36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22" fillId="0" borderId="0" xfId="0" applyFont="1" applyAlignment="1" applyProtection="1">
      <alignment horizontal="center" vertical="center"/>
      <protection hidden="1"/>
    </xf>
    <xf numFmtId="167" fontId="28" fillId="0" borderId="0" xfId="0" applyNumberFormat="1" applyFont="1" applyAlignment="1" applyProtection="1">
      <alignment vertical="center"/>
      <protection hidden="1"/>
    </xf>
    <xf numFmtId="0" fontId="21" fillId="0" borderId="0" xfId="0" applyFont="1" applyFill="1" applyAlignment="1" applyProtection="1">
      <alignment vertical="center"/>
      <protection hidden="1"/>
    </xf>
    <xf numFmtId="0" fontId="38" fillId="0" borderId="0" xfId="0" applyFont="1" applyFill="1" applyAlignment="1" applyProtection="1">
      <alignment vertical="center"/>
      <protection hidden="1"/>
    </xf>
    <xf numFmtId="0" fontId="38" fillId="0" borderId="0" xfId="0" applyFont="1" applyBorder="1" applyAlignment="1" applyProtection="1">
      <alignment vertical="center"/>
    </xf>
    <xf numFmtId="0" fontId="15" fillId="0" borderId="9" xfId="0" applyFont="1" applyBorder="1" applyAlignment="1" applyProtection="1">
      <alignment vertical="center"/>
    </xf>
    <xf numFmtId="0" fontId="15" fillId="0" borderId="9" xfId="0" applyFont="1" applyBorder="1" applyAlignment="1">
      <alignment vertical="center"/>
    </xf>
    <xf numFmtId="0" fontId="15" fillId="0" borderId="17" xfId="0" applyFont="1" applyBorder="1" applyAlignment="1" applyProtection="1">
      <alignment vertical="center"/>
    </xf>
    <xf numFmtId="0" fontId="15" fillId="0" borderId="17" xfId="0" applyFont="1" applyBorder="1" applyAlignment="1">
      <alignment vertical="center"/>
    </xf>
    <xf numFmtId="0" fontId="39" fillId="0" borderId="16" xfId="0" applyFont="1" applyBorder="1" applyAlignment="1" applyProtection="1">
      <alignment vertical="center"/>
      <protection hidden="1"/>
    </xf>
    <xf numFmtId="0" fontId="41" fillId="0" borderId="9" xfId="0" applyFont="1" applyBorder="1" applyAlignment="1" applyProtection="1">
      <alignment vertical="center"/>
      <protection hidden="1"/>
    </xf>
    <xf numFmtId="0" fontId="42" fillId="0" borderId="9" xfId="0" applyFont="1" applyBorder="1" applyAlignment="1" applyProtection="1">
      <alignment horizontal="right" vertical="center"/>
      <protection hidden="1"/>
    </xf>
    <xf numFmtId="0" fontId="43" fillId="0" borderId="9" xfId="0" applyFont="1" applyBorder="1" applyAlignment="1" applyProtection="1">
      <alignment vertical="center"/>
      <protection hidden="1"/>
    </xf>
    <xf numFmtId="0" fontId="42" fillId="0" borderId="9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>
      <alignment horizontal="center" vertical="center"/>
    </xf>
    <xf numFmtId="0" fontId="15" fillId="0" borderId="0" xfId="0" applyFont="1" applyBorder="1" applyAlignment="1" applyProtection="1">
      <alignment vertical="center"/>
    </xf>
    <xf numFmtId="0" fontId="15" fillId="0" borderId="0" xfId="0" applyFont="1" applyBorder="1" applyAlignment="1">
      <alignment vertical="center"/>
    </xf>
    <xf numFmtId="0" fontId="22" fillId="0" borderId="0" xfId="0" applyFont="1" applyBorder="1" applyAlignment="1" applyProtection="1">
      <alignment vertical="center"/>
      <protection hidden="1"/>
    </xf>
    <xf numFmtId="0" fontId="22" fillId="0" borderId="0" xfId="0" applyFont="1" applyBorder="1" applyAlignment="1" applyProtection="1">
      <alignment horizontal="right" vertical="center"/>
      <protection hidden="1"/>
    </xf>
    <xf numFmtId="0" fontId="22" fillId="0" borderId="0" xfId="0" applyFont="1" applyBorder="1" applyAlignment="1" applyProtection="1">
      <alignment horizontal="left" vertical="center"/>
      <protection hidden="1"/>
    </xf>
    <xf numFmtId="2" fontId="23" fillId="0" borderId="0" xfId="0" applyNumberFormat="1" applyFont="1" applyAlignment="1" applyProtection="1">
      <alignment vertical="center"/>
      <protection hidden="1"/>
    </xf>
    <xf numFmtId="2" fontId="23" fillId="0" borderId="0" xfId="0" quotePrefix="1" applyNumberFormat="1" applyFont="1" applyAlignment="1" applyProtection="1">
      <alignment vertical="center"/>
      <protection hidden="1"/>
    </xf>
    <xf numFmtId="0" fontId="17" fillId="0" borderId="0" xfId="2"/>
    <xf numFmtId="0" fontId="17" fillId="0" borderId="33" xfId="2" applyBorder="1" applyAlignment="1">
      <alignment vertical="center"/>
    </xf>
    <xf numFmtId="0" fontId="17" fillId="0" borderId="34" xfId="2" applyBorder="1" applyAlignment="1">
      <alignment vertical="center"/>
    </xf>
    <xf numFmtId="0" fontId="17" fillId="0" borderId="35" xfId="2" applyBorder="1" applyAlignment="1">
      <alignment vertical="center"/>
    </xf>
    <xf numFmtId="0" fontId="17" fillId="0" borderId="36" xfId="2" applyBorder="1" applyAlignment="1">
      <alignment vertical="center"/>
    </xf>
    <xf numFmtId="0" fontId="17" fillId="0" borderId="37" xfId="2" applyBorder="1" applyAlignment="1">
      <alignment vertical="center"/>
    </xf>
    <xf numFmtId="0" fontId="17" fillId="0" borderId="38" xfId="2" applyBorder="1" applyAlignment="1">
      <alignment vertical="center"/>
    </xf>
    <xf numFmtId="0" fontId="17" fillId="0" borderId="39" xfId="2" applyBorder="1" applyAlignment="1">
      <alignment vertical="center"/>
    </xf>
    <xf numFmtId="0" fontId="17" fillId="0" borderId="40" xfId="2" applyBorder="1" applyAlignment="1">
      <alignment vertical="center"/>
    </xf>
    <xf numFmtId="0" fontId="17" fillId="0" borderId="41" xfId="2" applyBorder="1" applyAlignment="1">
      <alignment vertical="center"/>
    </xf>
    <xf numFmtId="0" fontId="17" fillId="0" borderId="25" xfId="2" applyBorder="1" applyAlignment="1">
      <alignment horizontal="center" vertical="center"/>
    </xf>
    <xf numFmtId="0" fontId="17" fillId="0" borderId="32" xfId="2" applyBorder="1" applyAlignment="1">
      <alignment horizontal="center" vertical="center"/>
    </xf>
    <xf numFmtId="0" fontId="17" fillId="0" borderId="31" xfId="2" applyBorder="1" applyAlignment="1">
      <alignment horizontal="center" vertical="center"/>
    </xf>
    <xf numFmtId="0" fontId="17" fillId="0" borderId="25" xfId="2" applyBorder="1" applyAlignment="1">
      <alignment vertical="center"/>
    </xf>
    <xf numFmtId="0" fontId="17" fillId="0" borderId="42" xfId="2" applyBorder="1" applyAlignment="1">
      <alignment horizontal="center" vertical="center"/>
    </xf>
    <xf numFmtId="0" fontId="17" fillId="0" borderId="1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0" fontId="17" fillId="0" borderId="42" xfId="2" applyBorder="1" applyAlignment="1">
      <alignment horizontal="center"/>
    </xf>
    <xf numFmtId="0" fontId="17" fillId="0" borderId="42" xfId="2" applyBorder="1"/>
    <xf numFmtId="0" fontId="17" fillId="0" borderId="43" xfId="2" applyBorder="1" applyAlignment="1">
      <alignment horizontal="center" vertical="center"/>
    </xf>
    <xf numFmtId="0" fontId="17" fillId="0" borderId="1" xfId="2" applyBorder="1"/>
    <xf numFmtId="0" fontId="17" fillId="0" borderId="42" xfId="2" applyBorder="1" applyAlignment="1">
      <alignment vertical="center"/>
    </xf>
    <xf numFmtId="0" fontId="17" fillId="0" borderId="30" xfId="2" applyBorder="1" applyAlignment="1">
      <alignment vertical="center"/>
    </xf>
    <xf numFmtId="0" fontId="17" fillId="0" borderId="26" xfId="2" applyBorder="1" applyAlignment="1">
      <alignment horizontal="centerContinuous"/>
    </xf>
    <xf numFmtId="0" fontId="17" fillId="0" borderId="26" xfId="2" applyBorder="1" applyAlignment="1">
      <alignment horizontal="centerContinuous" vertical="center"/>
    </xf>
    <xf numFmtId="0" fontId="17" fillId="0" borderId="32" xfId="2" applyBorder="1" applyAlignment="1">
      <alignment horizontal="centerContinuous"/>
    </xf>
    <xf numFmtId="0" fontId="17" fillId="0" borderId="31" xfId="2" applyBorder="1" applyAlignment="1">
      <alignment horizontal="centerContinuous" vertical="center"/>
    </xf>
    <xf numFmtId="0" fontId="17" fillId="0" borderId="43" xfId="2" applyBorder="1" applyAlignment="1">
      <alignment horizontal="center"/>
    </xf>
    <xf numFmtId="0" fontId="17" fillId="0" borderId="28" xfId="2" applyBorder="1" applyAlignment="1">
      <alignment horizontal="center" vertical="center"/>
    </xf>
    <xf numFmtId="0" fontId="17" fillId="0" borderId="43" xfId="2" applyBorder="1" applyAlignment="1">
      <alignment vertical="center"/>
    </xf>
    <xf numFmtId="0" fontId="17" fillId="0" borderId="29" xfId="2" applyBorder="1" applyAlignment="1">
      <alignment horizontal="centerContinuous"/>
    </xf>
    <xf numFmtId="0" fontId="17" fillId="0" borderId="27" xfId="2" applyBorder="1" applyAlignment="1">
      <alignment horizontal="centerContinuous" vertical="center"/>
    </xf>
    <xf numFmtId="0" fontId="17" fillId="0" borderId="28" xfId="2" applyBorder="1" applyAlignment="1">
      <alignment horizontal="centerContinuous" vertical="center"/>
    </xf>
    <xf numFmtId="0" fontId="17" fillId="0" borderId="29" xfId="2" applyBorder="1" applyAlignment="1">
      <alignment horizontal="center" vertical="center"/>
    </xf>
    <xf numFmtId="0" fontId="15" fillId="0" borderId="0" xfId="0" applyFont="1" applyAlignment="1" applyProtection="1">
      <alignment vertical="center"/>
    </xf>
    <xf numFmtId="2" fontId="28" fillId="0" borderId="0" xfId="0" applyNumberFormat="1" applyFont="1" applyAlignment="1" applyProtection="1">
      <alignment vertical="center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21" fillId="3" borderId="0" xfId="0" applyFont="1" applyFill="1" applyAlignment="1" applyProtection="1">
      <alignment horizontal="left" vertical="center"/>
      <protection hidden="1"/>
    </xf>
    <xf numFmtId="2" fontId="41" fillId="0" borderId="9" xfId="0" applyNumberFormat="1" applyFont="1" applyBorder="1" applyAlignment="1" applyProtection="1">
      <alignment vertical="center"/>
      <protection hidden="1"/>
    </xf>
    <xf numFmtId="2" fontId="41" fillId="0" borderId="9" xfId="0" applyNumberFormat="1" applyFont="1" applyBorder="1" applyAlignment="1" applyProtection="1">
      <alignment horizontal="right" vertical="center"/>
      <protection hidden="1"/>
    </xf>
    <xf numFmtId="2" fontId="23" fillId="0" borderId="0" xfId="0" applyNumberFormat="1" applyFont="1" applyAlignment="1" applyProtection="1">
      <alignment vertical="center"/>
      <protection hidden="1"/>
    </xf>
    <xf numFmtId="2" fontId="23" fillId="0" borderId="0" xfId="0" applyNumberFormat="1" applyFont="1" applyBorder="1" applyAlignment="1" applyProtection="1">
      <alignment horizontal="right" vertical="center"/>
      <protection hidden="1"/>
    </xf>
    <xf numFmtId="2" fontId="23" fillId="0" borderId="0" xfId="0" quotePrefix="1" applyNumberFormat="1" applyFont="1" applyAlignment="1" applyProtection="1">
      <alignment horizontal="right" vertical="center"/>
      <protection hidden="1"/>
    </xf>
    <xf numFmtId="2" fontId="23" fillId="0" borderId="0" xfId="0" applyNumberFormat="1" applyFont="1" applyAlignment="1" applyProtection="1">
      <alignment horizontal="right" vertical="center"/>
      <protection hidden="1"/>
    </xf>
    <xf numFmtId="167" fontId="28" fillId="0" borderId="0" xfId="0" applyNumberFormat="1" applyFont="1" applyAlignment="1" applyProtection="1">
      <alignment horizontal="right" vertical="center"/>
      <protection hidden="1"/>
    </xf>
    <xf numFmtId="167" fontId="22" fillId="0" borderId="0" xfId="0" quotePrefix="1" applyNumberFormat="1" applyFont="1" applyAlignment="1" applyProtection="1">
      <alignment horizontal="center" vertical="center"/>
      <protection hidden="1"/>
    </xf>
    <xf numFmtId="167" fontId="22" fillId="0" borderId="0" xfId="0" applyNumberFormat="1" applyFont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2" fontId="28" fillId="0" borderId="0" xfId="0" applyNumberFormat="1" applyFont="1" applyAlignment="1" applyProtection="1">
      <alignment vertical="center"/>
      <protection hidden="1"/>
    </xf>
    <xf numFmtId="1" fontId="23" fillId="0" borderId="0" xfId="0" applyNumberFormat="1" applyFont="1" applyFill="1" applyBorder="1" applyAlignment="1" applyProtection="1">
      <alignment vertical="center"/>
      <protection locked="0"/>
    </xf>
    <xf numFmtId="168" fontId="23" fillId="0" borderId="0" xfId="0" applyNumberFormat="1" applyFont="1" applyAlignment="1" applyProtection="1">
      <alignment vertical="center"/>
      <protection hidden="1"/>
    </xf>
    <xf numFmtId="167" fontId="28" fillId="0" borderId="0" xfId="0" applyNumberFormat="1" applyFont="1" applyAlignment="1" applyProtection="1">
      <alignment vertical="center"/>
      <protection hidden="1"/>
    </xf>
    <xf numFmtId="167" fontId="34" fillId="0" borderId="28" xfId="0" applyNumberFormat="1" applyFont="1" applyBorder="1" applyAlignment="1" applyProtection="1">
      <alignment horizontal="center" vertical="center"/>
      <protection hidden="1"/>
    </xf>
    <xf numFmtId="0" fontId="34" fillId="0" borderId="27" xfId="0" applyFont="1" applyBorder="1" applyAlignment="1" applyProtection="1">
      <alignment horizontal="center" vertical="center"/>
      <protection hidden="1"/>
    </xf>
    <xf numFmtId="0" fontId="34" fillId="0" borderId="29" xfId="0" applyFont="1" applyBorder="1" applyAlignment="1" applyProtection="1">
      <alignment horizontal="center" vertical="center"/>
      <protection hidden="1"/>
    </xf>
    <xf numFmtId="0" fontId="34" fillId="0" borderId="31" xfId="0" applyFont="1" applyBorder="1" applyAlignment="1" applyProtection="1">
      <alignment horizontal="center" vertical="center"/>
      <protection hidden="1"/>
    </xf>
    <xf numFmtId="0" fontId="34" fillId="0" borderId="26" xfId="0" applyFont="1" applyBorder="1" applyAlignment="1" applyProtection="1">
      <alignment horizontal="center" vertical="center"/>
      <protection hidden="1"/>
    </xf>
    <xf numFmtId="0" fontId="34" fillId="0" borderId="32" xfId="0" applyFont="1" applyBorder="1" applyAlignment="1" applyProtection="1">
      <alignment horizontal="center" vertical="center"/>
      <protection hidden="1"/>
    </xf>
    <xf numFmtId="0" fontId="45" fillId="0" borderId="0" xfId="0" applyFont="1" applyAlignment="1" applyProtection="1">
      <alignment vertical="center"/>
    </xf>
    <xf numFmtId="2" fontId="23" fillId="0" borderId="0" xfId="0" quotePrefix="1" applyNumberFormat="1" applyFont="1" applyAlignment="1" applyProtection="1">
      <alignment vertical="center"/>
      <protection hidden="1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0" xfId="0" applyFont="1" applyFill="1" applyBorder="1" applyAlignment="1" applyProtection="1">
      <alignment horizontal="center" vertical="center"/>
    </xf>
    <xf numFmtId="0" fontId="15" fillId="2" borderId="26" xfId="0" applyFont="1" applyFill="1" applyBorder="1" applyAlignment="1" applyProtection="1">
      <alignment horizontal="center" vertical="center"/>
    </xf>
    <xf numFmtId="0" fontId="15" fillId="7" borderId="27" xfId="0" applyFont="1" applyFill="1" applyBorder="1" applyAlignment="1" applyProtection="1">
      <alignment horizontal="center" vertical="center" wrapText="1"/>
    </xf>
    <xf numFmtId="0" fontId="15" fillId="7" borderId="0" xfId="0" applyFont="1" applyFill="1" applyBorder="1" applyAlignment="1" applyProtection="1">
      <alignment horizontal="center" vertical="center"/>
    </xf>
    <xf numFmtId="0" fontId="15" fillId="7" borderId="26" xfId="0" applyFont="1" applyFill="1" applyBorder="1" applyAlignment="1" applyProtection="1">
      <alignment horizontal="center" vertical="center"/>
    </xf>
    <xf numFmtId="0" fontId="15" fillId="2" borderId="27" xfId="0" applyFont="1" applyFill="1" applyBorder="1" applyAlignment="1" applyProtection="1">
      <alignment horizontal="center" vertical="center" wrapText="1"/>
    </xf>
    <xf numFmtId="1" fontId="23" fillId="0" borderId="0" xfId="0" applyNumberFormat="1" applyFont="1" applyAlignment="1" applyProtection="1">
      <alignment vertical="center"/>
      <protection hidden="1"/>
    </xf>
    <xf numFmtId="170" fontId="23" fillId="0" borderId="0" xfId="0" applyNumberFormat="1" applyFont="1" applyAlignment="1" applyProtection="1">
      <alignment vertical="center"/>
      <protection hidden="1"/>
    </xf>
    <xf numFmtId="0" fontId="15" fillId="0" borderId="0" xfId="0" applyFont="1" applyAlignment="1" applyProtection="1">
      <alignment vertical="center"/>
    </xf>
    <xf numFmtId="1" fontId="15" fillId="0" borderId="0" xfId="0" applyNumberFormat="1" applyFont="1" applyBorder="1" applyAlignment="1" applyProtection="1">
      <alignment vertical="center"/>
    </xf>
    <xf numFmtId="168" fontId="15" fillId="6" borderId="0" xfId="0" applyNumberFormat="1" applyFont="1" applyFill="1" applyBorder="1" applyAlignment="1" applyProtection="1">
      <alignment vertical="center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22" fillId="0" borderId="0" xfId="0" applyFont="1" applyAlignment="1" applyProtection="1">
      <alignment horizontal="center" vertical="center"/>
      <protection hidden="1"/>
    </xf>
    <xf numFmtId="0" fontId="22" fillId="0" borderId="16" xfId="0" applyFont="1" applyBorder="1" applyAlignment="1" applyProtection="1">
      <alignment horizontal="center" vertical="center"/>
      <protection hidden="1"/>
    </xf>
    <xf numFmtId="0" fontId="22" fillId="0" borderId="9" xfId="0" applyFont="1" applyBorder="1" applyAlignment="1" applyProtection="1">
      <alignment horizontal="center" vertical="center"/>
      <protection hidden="1"/>
    </xf>
    <xf numFmtId="0" fontId="22" fillId="0" borderId="17" xfId="0" applyFont="1" applyBorder="1" applyAlignment="1" applyProtection="1">
      <alignment horizontal="center" vertical="center"/>
      <protection hidden="1"/>
    </xf>
    <xf numFmtId="167" fontId="28" fillId="0" borderId="16" xfId="0" applyNumberFormat="1" applyFont="1" applyBorder="1" applyAlignment="1">
      <alignment horizontal="right" vertical="center"/>
    </xf>
    <xf numFmtId="167" fontId="28" fillId="0" borderId="9" xfId="0" applyNumberFormat="1" applyFont="1" applyBorder="1" applyAlignment="1">
      <alignment horizontal="right" vertical="center"/>
    </xf>
    <xf numFmtId="2" fontId="28" fillId="0" borderId="9" xfId="0" applyNumberFormat="1" applyFont="1" applyBorder="1" applyAlignment="1">
      <alignment horizontal="right" vertical="center"/>
    </xf>
    <xf numFmtId="167" fontId="35" fillId="0" borderId="0" xfId="0" applyNumberFormat="1" applyFont="1" applyBorder="1" applyAlignment="1">
      <alignment horizontal="right" vertical="center"/>
    </xf>
    <xf numFmtId="172" fontId="23" fillId="2" borderId="24" xfId="0" applyNumberFormat="1" applyFont="1" applyFill="1" applyBorder="1" applyAlignment="1" applyProtection="1">
      <alignment vertical="center"/>
      <protection locked="0" hidden="1"/>
    </xf>
    <xf numFmtId="168" fontId="15" fillId="6" borderId="0" xfId="0" applyNumberFormat="1" applyFont="1" applyFill="1" applyBorder="1" applyAlignment="1" applyProtection="1">
      <alignment horizontal="left" vertical="center"/>
    </xf>
    <xf numFmtId="168" fontId="15" fillId="5" borderId="0" xfId="0" applyNumberFormat="1" applyFont="1" applyFill="1" applyAlignment="1" applyProtection="1">
      <alignment horizontal="center" vertical="center"/>
    </xf>
    <xf numFmtId="1" fontId="23" fillId="0" borderId="24" xfId="0" applyNumberFormat="1" applyFont="1" applyFill="1" applyBorder="1" applyAlignment="1" applyProtection="1">
      <alignment vertical="center"/>
      <protection locked="0"/>
    </xf>
    <xf numFmtId="1" fontId="15" fillId="0" borderId="0" xfId="0" applyNumberFormat="1" applyFont="1" applyBorder="1" applyAlignment="1" applyProtection="1">
      <alignment horizontal="center" vertical="center"/>
    </xf>
    <xf numFmtId="1" fontId="23" fillId="4" borderId="24" xfId="0" applyNumberFormat="1" applyFont="1" applyFill="1" applyBorder="1" applyAlignment="1" applyProtection="1">
      <alignment vertical="center"/>
      <protection locked="0"/>
    </xf>
    <xf numFmtId="3" fontId="23" fillId="0" borderId="0" xfId="0" applyNumberFormat="1" applyFont="1" applyFill="1" applyBorder="1" applyAlignment="1" applyProtection="1">
      <alignment vertical="center"/>
      <protection hidden="1"/>
    </xf>
    <xf numFmtId="168" fontId="23" fillId="0" borderId="0" xfId="0" applyNumberFormat="1" applyFont="1" applyFill="1" applyBorder="1" applyAlignment="1" applyProtection="1">
      <alignment vertical="center"/>
      <protection locked="0"/>
    </xf>
    <xf numFmtId="1" fontId="23" fillId="0" borderId="0" xfId="0" applyNumberFormat="1" applyFont="1" applyFill="1" applyBorder="1" applyAlignment="1" applyProtection="1">
      <alignment vertical="center"/>
      <protection hidden="1"/>
    </xf>
    <xf numFmtId="165" fontId="23" fillId="4" borderId="24" xfId="1" applyNumberFormat="1" applyFont="1" applyFill="1" applyBorder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164" fontId="1" fillId="0" borderId="9" xfId="0" applyNumberFormat="1" applyFont="1" applyBorder="1" applyAlignment="1" applyProtection="1">
      <alignment horizontal="center" vertical="center"/>
    </xf>
    <xf numFmtId="164" fontId="1" fillId="0" borderId="12" xfId="0" applyNumberFormat="1" applyFont="1" applyBorder="1" applyAlignment="1" applyProtection="1">
      <alignment horizontal="center" vertical="center"/>
    </xf>
    <xf numFmtId="49" fontId="4" fillId="0" borderId="10" xfId="0" applyNumberFormat="1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horizontal="center" vertical="top"/>
    </xf>
    <xf numFmtId="0" fontId="16" fillId="0" borderId="7" xfId="0" applyFont="1" applyBorder="1" applyAlignment="1" applyProtection="1">
      <alignment horizontal="center" vertical="top"/>
    </xf>
    <xf numFmtId="0" fontId="16" fillId="0" borderId="15" xfId="0" applyFont="1" applyBorder="1" applyAlignment="1" applyProtection="1">
      <alignment horizontal="center" vertical="top"/>
    </xf>
    <xf numFmtId="0" fontId="16" fillId="0" borderId="2" xfId="0" applyFont="1" applyBorder="1" applyAlignment="1" applyProtection="1">
      <alignment horizontal="center" vertical="top"/>
    </xf>
    <xf numFmtId="0" fontId="16" fillId="0" borderId="0" xfId="0" applyFont="1" applyBorder="1" applyAlignment="1" applyProtection="1">
      <alignment horizontal="center" vertical="top"/>
    </xf>
    <xf numFmtId="0" fontId="16" fillId="0" borderId="3" xfId="0" applyFont="1" applyBorder="1" applyAlignment="1" applyProtection="1">
      <alignment horizontal="center" vertical="top"/>
    </xf>
    <xf numFmtId="0" fontId="16" fillId="0" borderId="4" xfId="0" applyFont="1" applyBorder="1" applyAlignment="1" applyProtection="1">
      <alignment horizontal="center" vertical="top"/>
    </xf>
    <xf numFmtId="0" fontId="16" fillId="0" borderId="5" xfId="0" applyFont="1" applyBorder="1" applyAlignment="1" applyProtection="1">
      <alignment horizontal="center" vertical="top"/>
    </xf>
    <xf numFmtId="0" fontId="16" fillId="0" borderId="6" xfId="0" applyFont="1" applyBorder="1" applyAlignment="1" applyProtection="1">
      <alignment horizontal="center" vertical="top"/>
    </xf>
    <xf numFmtId="0" fontId="1" fillId="0" borderId="14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22" xfId="0" applyFont="1" applyBorder="1" applyAlignment="1" applyProtection="1">
      <alignment horizontal="center" vertical="center"/>
    </xf>
    <xf numFmtId="0" fontId="48" fillId="0" borderId="2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1" fillId="0" borderId="23" xfId="0" applyFont="1" applyBorder="1" applyAlignment="1" applyProtection="1">
      <alignment horizontal="center" vertical="center"/>
    </xf>
    <xf numFmtId="0" fontId="18" fillId="0" borderId="0" xfId="0" applyFont="1" applyBorder="1" applyAlignment="1" applyProtection="1">
      <alignment horizontal="center" vertical="center" wrapText="1"/>
    </xf>
    <xf numFmtId="0" fontId="1" fillId="0" borderId="20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18" xfId="0" applyFont="1" applyBorder="1" applyAlignment="1" applyProtection="1">
      <alignment horizontal="left" vertical="center"/>
    </xf>
    <xf numFmtId="0" fontId="1" fillId="0" borderId="16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1" fillId="0" borderId="17" xfId="0" applyFont="1" applyBorder="1" applyAlignment="1" applyProtection="1">
      <alignment horizontal="left" vertical="center"/>
    </xf>
    <xf numFmtId="0" fontId="1" fillId="0" borderId="21" xfId="0" applyFont="1" applyBorder="1" applyAlignment="1" applyProtection="1">
      <alignment horizontal="left" vertical="center"/>
    </xf>
    <xf numFmtId="0" fontId="1" fillId="0" borderId="10" xfId="0" applyFont="1" applyBorder="1" applyAlignment="1" applyProtection="1">
      <alignment horizontal="left" vertical="center"/>
    </xf>
    <xf numFmtId="0" fontId="1" fillId="0" borderId="19" xfId="0" applyFont="1" applyBorder="1" applyAlignment="1" applyProtection="1">
      <alignment horizontal="left" vertical="center"/>
    </xf>
    <xf numFmtId="0" fontId="21" fillId="2" borderId="0" xfId="0" applyFont="1" applyFill="1" applyBorder="1" applyAlignment="1" applyProtection="1">
      <alignment horizontal="left" vertical="center" indent="1"/>
    </xf>
    <xf numFmtId="166" fontId="23" fillId="2" borderId="24" xfId="0" applyNumberFormat="1" applyFont="1" applyFill="1" applyBorder="1" applyAlignment="1" applyProtection="1">
      <alignment vertical="center"/>
      <protection locked="0" hidden="1"/>
    </xf>
    <xf numFmtId="168" fontId="35" fillId="0" borderId="0" xfId="0" applyNumberFormat="1" applyFont="1" applyFill="1" applyBorder="1" applyAlignment="1" applyProtection="1">
      <alignment vertical="center"/>
      <protection locked="0"/>
    </xf>
    <xf numFmtId="1" fontId="35" fillId="0" borderId="0" xfId="0" applyNumberFormat="1" applyFont="1" applyFill="1" applyBorder="1" applyAlignment="1" applyProtection="1">
      <alignment vertical="center"/>
      <protection locked="0"/>
    </xf>
    <xf numFmtId="166" fontId="23" fillId="4" borderId="24" xfId="1" applyNumberFormat="1" applyFont="1" applyFill="1" applyBorder="1" applyAlignment="1" applyProtection="1">
      <alignment vertical="center"/>
      <protection locked="0"/>
    </xf>
    <xf numFmtId="167" fontId="23" fillId="4" borderId="24" xfId="1" applyNumberFormat="1" applyFont="1" applyFill="1" applyBorder="1" applyAlignment="1" applyProtection="1">
      <alignment vertical="center"/>
      <protection locked="0"/>
    </xf>
    <xf numFmtId="3" fontId="23" fillId="2" borderId="24" xfId="0" applyNumberFormat="1" applyFont="1" applyFill="1" applyBorder="1" applyAlignment="1" applyProtection="1">
      <alignment vertical="center"/>
      <protection locked="0" hidden="1"/>
    </xf>
    <xf numFmtId="0" fontId="23" fillId="4" borderId="16" xfId="0" applyFont="1" applyFill="1" applyBorder="1" applyAlignment="1" applyProtection="1">
      <alignment vertical="center"/>
      <protection hidden="1"/>
    </xf>
    <xf numFmtId="0" fontId="23" fillId="4" borderId="9" xfId="0" applyFont="1" applyFill="1" applyBorder="1" applyAlignment="1" applyProtection="1">
      <alignment vertical="center"/>
      <protection hidden="1"/>
    </xf>
    <xf numFmtId="0" fontId="23" fillId="4" borderId="17" xfId="0" applyFont="1" applyFill="1" applyBorder="1" applyAlignment="1" applyProtection="1">
      <alignment vertical="center"/>
      <protection hidden="1"/>
    </xf>
    <xf numFmtId="1" fontId="23" fillId="0" borderId="25" xfId="0" applyNumberFormat="1" applyFont="1" applyFill="1" applyBorder="1" applyAlignment="1" applyProtection="1">
      <alignment vertical="center"/>
      <protection locked="0"/>
    </xf>
    <xf numFmtId="168" fontId="23" fillId="0" borderId="25" xfId="0" applyNumberFormat="1" applyFont="1" applyFill="1" applyBorder="1" applyAlignme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</xf>
    <xf numFmtId="167" fontId="35" fillId="0" borderId="30" xfId="0" applyNumberFormat="1" applyFont="1" applyBorder="1" applyAlignment="1">
      <alignment horizontal="right" vertical="center"/>
    </xf>
    <xf numFmtId="167" fontId="28" fillId="0" borderId="0" xfId="0" applyNumberFormat="1" applyFont="1" applyBorder="1" applyAlignment="1">
      <alignment horizontal="right" vertical="center"/>
    </xf>
    <xf numFmtId="2" fontId="28" fillId="0" borderId="0" xfId="0" applyNumberFormat="1" applyFont="1" applyBorder="1" applyAlignment="1">
      <alignment horizontal="right" vertical="center"/>
    </xf>
    <xf numFmtId="2" fontId="35" fillId="0" borderId="0" xfId="0" applyNumberFormat="1" applyFont="1" applyBorder="1" applyAlignment="1">
      <alignment horizontal="right" vertical="center"/>
    </xf>
    <xf numFmtId="167" fontId="35" fillId="0" borderId="26" xfId="0" applyNumberFormat="1" applyFont="1" applyBorder="1" applyAlignment="1">
      <alignment horizontal="right" vertical="center"/>
    </xf>
    <xf numFmtId="2" fontId="35" fillId="0" borderId="26" xfId="0" applyNumberFormat="1" applyFont="1" applyBorder="1" applyAlignment="1">
      <alignment horizontal="right" vertical="center"/>
    </xf>
    <xf numFmtId="167" fontId="35" fillId="0" borderId="31" xfId="0" applyNumberFormat="1" applyFont="1" applyBorder="1" applyAlignment="1">
      <alignment horizontal="right" vertical="center"/>
    </xf>
    <xf numFmtId="3" fontId="23" fillId="0" borderId="0" xfId="0" applyNumberFormat="1" applyFont="1" applyAlignment="1" applyProtection="1">
      <alignment vertical="center"/>
      <protection hidden="1"/>
    </xf>
    <xf numFmtId="0" fontId="35" fillId="0" borderId="26" xfId="0" applyFont="1" applyBorder="1" applyAlignment="1">
      <alignment horizontal="center" vertical="center"/>
    </xf>
    <xf numFmtId="168" fontId="23" fillId="0" borderId="0" xfId="1" applyNumberFormat="1" applyFont="1" applyAlignment="1" applyProtection="1">
      <alignment vertical="center"/>
      <protection hidden="1"/>
    </xf>
    <xf numFmtId="0" fontId="22" fillId="0" borderId="28" xfId="0" applyFont="1" applyBorder="1" applyAlignment="1" applyProtection="1">
      <alignment horizontal="center" vertical="center"/>
      <protection hidden="1"/>
    </xf>
    <xf numFmtId="0" fontId="22" fillId="0" borderId="27" xfId="0" applyFont="1" applyBorder="1" applyAlignment="1" applyProtection="1">
      <alignment horizontal="center" vertical="center"/>
      <protection hidden="1"/>
    </xf>
    <xf numFmtId="0" fontId="22" fillId="0" borderId="30" xfId="0" applyFont="1" applyBorder="1" applyAlignment="1" applyProtection="1">
      <alignment horizontal="center" vertical="center"/>
      <protection hidden="1"/>
    </xf>
    <xf numFmtId="0" fontId="22" fillId="0" borderId="0" xfId="0" applyFont="1" applyBorder="1" applyAlignment="1" applyProtection="1">
      <alignment horizontal="center" vertical="center"/>
      <protection hidden="1"/>
    </xf>
    <xf numFmtId="0" fontId="22" fillId="0" borderId="31" xfId="0" applyFont="1" applyBorder="1" applyAlignment="1" applyProtection="1">
      <alignment horizontal="center" vertical="center"/>
      <protection hidden="1"/>
    </xf>
    <xf numFmtId="0" fontId="22" fillId="0" borderId="26" xfId="0" applyFont="1" applyBorder="1" applyAlignment="1" applyProtection="1">
      <alignment horizontal="center" vertical="center"/>
      <protection hidden="1"/>
    </xf>
    <xf numFmtId="167" fontId="28" fillId="0" borderId="28" xfId="0" applyNumberFormat="1" applyFont="1" applyBorder="1" applyAlignment="1">
      <alignment horizontal="right" vertical="center"/>
    </xf>
    <xf numFmtId="167" fontId="28" fillId="0" borderId="27" xfId="0" applyNumberFormat="1" applyFont="1" applyBorder="1" applyAlignment="1">
      <alignment horizontal="right" vertical="center"/>
    </xf>
    <xf numFmtId="0" fontId="32" fillId="0" borderId="28" xfId="0" applyFont="1" applyBorder="1" applyAlignment="1">
      <alignment horizontal="center" vertical="center" textRotation="90" wrapText="1"/>
    </xf>
    <xf numFmtId="0" fontId="32" fillId="0" borderId="29" xfId="0" applyFont="1" applyBorder="1" applyAlignment="1">
      <alignment horizontal="center" vertical="center" textRotation="90" wrapText="1"/>
    </xf>
    <xf numFmtId="0" fontId="32" fillId="0" borderId="30" xfId="0" applyFont="1" applyBorder="1" applyAlignment="1">
      <alignment horizontal="center" vertical="center" textRotation="90" wrapText="1"/>
    </xf>
    <xf numFmtId="0" fontId="32" fillId="0" borderId="1" xfId="0" applyFont="1" applyBorder="1" applyAlignment="1">
      <alignment horizontal="center" vertical="center" textRotation="90" wrapText="1"/>
    </xf>
    <xf numFmtId="0" fontId="32" fillId="0" borderId="31" xfId="0" applyFont="1" applyBorder="1" applyAlignment="1">
      <alignment horizontal="center" vertical="center" textRotation="90" wrapText="1"/>
    </xf>
    <xf numFmtId="0" fontId="32" fillId="0" borderId="32" xfId="0" applyFont="1" applyBorder="1" applyAlignment="1">
      <alignment horizontal="center" vertical="center" textRotation="90" wrapText="1"/>
    </xf>
    <xf numFmtId="167" fontId="23" fillId="0" borderId="0" xfId="0" applyNumberFormat="1" applyFont="1" applyAlignment="1" applyProtection="1">
      <alignment vertical="center"/>
      <protection hidden="1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7"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Compactness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Sheet1!$AG$12:$AG$14</c:f>
              <c:numCache>
                <c:formatCode>General</c:formatCode>
                <c:ptCount val="3"/>
                <c:pt idx="0">
                  <c:v>0</c:v>
                </c:pt>
                <c:pt idx="1">
                  <c:v>29.760622308912193</c:v>
                </c:pt>
                <c:pt idx="2">
                  <c:v>90</c:v>
                </c:pt>
              </c:numCache>
            </c:numRef>
          </c:xVal>
          <c:yVal>
            <c:numRef>
              <c:f>Sheet1!$AI$12:$AI$14</c:f>
              <c:numCache>
                <c:formatCode>General</c:formatCode>
                <c:ptCount val="3"/>
                <c:pt idx="0">
                  <c:v>-11.711008595656768</c:v>
                </c:pt>
                <c:pt idx="1">
                  <c:v>-23.55149147720596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C-4C82-96F0-5A8C5C85F165}"/>
            </c:ext>
          </c:extLst>
        </c:ser>
        <c:ser>
          <c:idx val="1"/>
          <c:order val="1"/>
          <c:tx>
            <c:v>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Sheet1!$AG$22</c:f>
              <c:numCache>
                <c:formatCode>General</c:formatCode>
                <c:ptCount val="1"/>
                <c:pt idx="0">
                  <c:v>82.121293549368332</c:v>
                </c:pt>
              </c:numCache>
            </c:numRef>
          </c:xVal>
          <c:yVal>
            <c:numRef>
              <c:f>Sheet1!$AG$21</c:f>
              <c:numCache>
                <c:formatCode>General</c:formatCode>
                <c:ptCount val="1"/>
                <c:pt idx="0">
                  <c:v>-1.7675735409402691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CC-4C82-96F0-5A8C5C85F165}"/>
            </c:ext>
          </c:extLst>
        </c:ser>
        <c:ser>
          <c:idx val="2"/>
          <c:order val="2"/>
          <c:tx>
            <c:v>Flange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Sheet1!$AG$15:$AG$17</c:f>
              <c:numCache>
                <c:formatCode>General</c:formatCode>
                <c:ptCount val="3"/>
                <c:pt idx="0">
                  <c:v>0</c:v>
                </c:pt>
                <c:pt idx="1">
                  <c:v>45</c:v>
                </c:pt>
                <c:pt idx="2">
                  <c:v>90</c:v>
                </c:pt>
              </c:numCache>
            </c:numRef>
          </c:xVal>
          <c:yVal>
            <c:numRef>
              <c:f>Sheet1!$AI$15:$AI$17</c:f>
              <c:numCache>
                <c:formatCode>General</c:formatCode>
                <c:ptCount val="3"/>
                <c:pt idx="0">
                  <c:v>-90</c:v>
                </c:pt>
                <c:pt idx="1">
                  <c:v>-90</c:v>
                </c:pt>
                <c:pt idx="2">
                  <c:v>-90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63-41B3-A803-503FF6896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180160"/>
        <c:axId val="975177440"/>
      </c:scatterChart>
      <c:valAx>
        <c:axId val="9751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Zeita</a:t>
                </a:r>
                <a:r>
                  <a:rPr lang="en-US" baseline="0"/>
                  <a:t> = ArcTan(My/Mx)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177440"/>
        <c:crosses val="autoZero"/>
        <c:crossBetween val="midCat"/>
      </c:valAx>
      <c:valAx>
        <c:axId val="97517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 = ArcTan (P/Sqrt(Mx^2+My^2))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18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8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ED52EA-E025-401F-8F29-1EE84B1207D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BG240"/>
  <sheetViews>
    <sheetView tabSelected="1" showRuler="0" topLeftCell="A178" zoomScale="150" zoomScaleNormal="150" zoomScaleSheetLayoutView="150" workbookViewId="0">
      <selection activeCell="L212" sqref="L212"/>
    </sheetView>
  </sheetViews>
  <sheetFormatPr defaultColWidth="9.33203125" defaultRowHeight="15"/>
  <cols>
    <col min="1" max="29" width="3.33203125" style="3" customWidth="1"/>
    <col min="30" max="30" width="9" style="1" customWidth="1"/>
    <col min="31" max="31" width="9.5546875" style="1" customWidth="1"/>
    <col min="32" max="32" width="10.44140625" style="1" customWidth="1"/>
    <col min="33" max="33" width="10.5546875" style="1" customWidth="1"/>
    <col min="34" max="34" width="10.109375" style="1" customWidth="1"/>
    <col min="35" max="35" width="10" style="1" customWidth="1"/>
    <col min="36" max="36" width="9.5546875" style="1" customWidth="1"/>
    <col min="37" max="37" width="9.44140625" style="1" customWidth="1"/>
    <col min="38" max="39" width="9.33203125" style="1" customWidth="1"/>
    <col min="40" max="40" width="9.44140625" style="1" customWidth="1"/>
    <col min="41" max="42" width="9.33203125" style="1" customWidth="1"/>
    <col min="43" max="44" width="9.5546875" style="1" customWidth="1"/>
    <col min="45" max="73" width="9.33203125" style="1" customWidth="1"/>
    <col min="74" max="16384" width="9.33203125" style="1"/>
  </cols>
  <sheetData>
    <row r="1" spans="1:36" ht="15" customHeight="1"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2"/>
      <c r="AB1" s="242"/>
      <c r="AC1" s="242"/>
    </row>
    <row r="2" spans="1:36" ht="15" customHeight="1" thickBot="1">
      <c r="B2" s="4" t="s">
        <v>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6"/>
      <c r="Z2" s="7"/>
      <c r="AA2" s="6"/>
      <c r="AB2" s="7" t="s">
        <v>8</v>
      </c>
      <c r="AC2" s="8"/>
    </row>
    <row r="3" spans="1:36" ht="15" customHeight="1">
      <c r="B3" s="249" t="s">
        <v>6</v>
      </c>
      <c r="C3" s="250"/>
      <c r="D3" s="250"/>
      <c r="E3" s="250"/>
      <c r="F3" s="250"/>
      <c r="G3" s="251"/>
      <c r="H3" s="258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60"/>
      <c r="V3" s="268" t="s">
        <v>1</v>
      </c>
      <c r="W3" s="269"/>
      <c r="X3" s="270"/>
      <c r="Y3" s="243" t="s">
        <v>4</v>
      </c>
      <c r="Z3" s="243"/>
      <c r="AA3" s="243"/>
      <c r="AB3" s="243"/>
      <c r="AC3" s="244"/>
    </row>
    <row r="4" spans="1:36" ht="15" customHeight="1">
      <c r="B4" s="252"/>
      <c r="C4" s="253"/>
      <c r="D4" s="253"/>
      <c r="E4" s="253"/>
      <c r="F4" s="253"/>
      <c r="G4" s="254"/>
      <c r="H4" s="261" t="s">
        <v>720</v>
      </c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3"/>
      <c r="V4" s="271" t="s">
        <v>2</v>
      </c>
      <c r="W4" s="272"/>
      <c r="X4" s="273"/>
      <c r="Y4" s="245">
        <f ca="1">NOW()</f>
        <v>43723.471754282407</v>
      </c>
      <c r="Z4" s="245"/>
      <c r="AA4" s="245"/>
      <c r="AB4" s="245"/>
      <c r="AC4" s="246"/>
    </row>
    <row r="5" spans="1:36" ht="15" customHeight="1" thickBot="1">
      <c r="B5" s="255"/>
      <c r="C5" s="256"/>
      <c r="D5" s="256"/>
      <c r="E5" s="256"/>
      <c r="F5" s="256"/>
      <c r="G5" s="257"/>
      <c r="H5" s="264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6"/>
      <c r="V5" s="274" t="s">
        <v>3</v>
      </c>
      <c r="W5" s="275"/>
      <c r="X5" s="276"/>
      <c r="Y5" s="247" t="s">
        <v>7</v>
      </c>
      <c r="Z5" s="247"/>
      <c r="AA5" s="247"/>
      <c r="AB5" s="247"/>
      <c r="AC5" s="248"/>
      <c r="AD5" s="10"/>
    </row>
    <row r="6" spans="1:36" ht="15" customHeight="1">
      <c r="A6" s="11"/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4"/>
      <c r="AA6" s="14"/>
      <c r="AB6" s="14"/>
      <c r="AC6" s="15"/>
      <c r="AF6" s="112" t="s">
        <v>167</v>
      </c>
    </row>
    <row r="7" spans="1:36" s="19" customFormat="1" ht="15" customHeight="1">
      <c r="A7" s="16"/>
      <c r="B7" s="17"/>
      <c r="C7" s="267" t="s">
        <v>733</v>
      </c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18"/>
      <c r="AE7" s="76"/>
      <c r="AF7" s="76"/>
      <c r="AG7" s="76"/>
      <c r="AH7" s="76"/>
      <c r="AI7" s="76"/>
      <c r="AJ7" s="76"/>
    </row>
    <row r="8" spans="1:36" s="19" customFormat="1" ht="15" customHeight="1">
      <c r="A8" s="16"/>
      <c r="B8" s="1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7"/>
      <c r="V8" s="267"/>
      <c r="W8" s="267"/>
      <c r="X8" s="267"/>
      <c r="Y8" s="267"/>
      <c r="Z8" s="267"/>
      <c r="AA8" s="267"/>
      <c r="AB8" s="267"/>
      <c r="AC8" s="18"/>
    </row>
    <row r="9" spans="1:36" ht="15" customHeight="1">
      <c r="A9" s="16"/>
      <c r="B9" s="20"/>
      <c r="C9" s="267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67"/>
      <c r="S9" s="267"/>
      <c r="T9" s="267"/>
      <c r="U9" s="267"/>
      <c r="V9" s="267"/>
      <c r="W9" s="267"/>
      <c r="X9" s="267"/>
      <c r="Y9" s="267"/>
      <c r="Z9" s="267"/>
      <c r="AA9" s="267"/>
      <c r="AB9" s="267"/>
      <c r="AC9" s="21"/>
      <c r="AE9" s="76"/>
      <c r="AF9" s="76"/>
      <c r="AG9" s="76"/>
      <c r="AH9" s="76"/>
      <c r="AI9" s="76"/>
      <c r="AJ9" s="76"/>
    </row>
    <row r="10" spans="1:36" ht="15" customHeight="1">
      <c r="A10" s="16"/>
      <c r="B10" s="20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1"/>
      <c r="AD10" s="77" t="s">
        <v>124</v>
      </c>
      <c r="AE10" s="76">
        <f t="array" ref="AE10:AJ10">IsFlangeCompact(Fy,h,tw,Bft,tft,Bfb,tfb,rr,AG21,AG22,2)</f>
        <v>0</v>
      </c>
      <c r="AF10" s="76">
        <v>-90</v>
      </c>
      <c r="AG10" s="76">
        <v>45</v>
      </c>
      <c r="AH10" s="76">
        <v>-90</v>
      </c>
      <c r="AI10" s="76">
        <v>90</v>
      </c>
      <c r="AJ10" s="76">
        <v>-90</v>
      </c>
    </row>
    <row r="11" spans="1:36" ht="15" customHeight="1">
      <c r="A11" s="16"/>
      <c r="B11" s="22"/>
      <c r="C11" s="35" t="s">
        <v>11</v>
      </c>
      <c r="D11" s="2"/>
      <c r="E11" s="277" t="s">
        <v>177</v>
      </c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  <c r="Q11" s="277"/>
      <c r="R11" s="277"/>
      <c r="S11" s="277"/>
      <c r="T11" s="277"/>
      <c r="U11" s="277"/>
      <c r="V11" s="277"/>
      <c r="W11" s="277"/>
      <c r="X11" s="277"/>
      <c r="Y11" s="277"/>
      <c r="Z11" s="277"/>
      <c r="AA11" s="277"/>
      <c r="AB11" s="277"/>
      <c r="AC11" s="24"/>
      <c r="AD11" s="77" t="s">
        <v>95</v>
      </c>
      <c r="AE11" s="76">
        <f t="array" ref="AE11:AJ11">IsWebCompact(Fy,h,tw,Bft,tft,Bfb,tfb,rr,AG21,AG22,2)</f>
        <v>0</v>
      </c>
      <c r="AF11" s="76">
        <v>-11.711008595656768</v>
      </c>
      <c r="AG11" s="76">
        <v>29.760622308912193</v>
      </c>
      <c r="AH11" s="76">
        <v>-23.55149147720596</v>
      </c>
      <c r="AI11" s="76">
        <v>90</v>
      </c>
      <c r="AJ11" s="76">
        <v>0</v>
      </c>
    </row>
    <row r="12" spans="1:36" ht="15" customHeight="1">
      <c r="A12" s="16"/>
      <c r="B12" s="2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3"/>
      <c r="AA12" s="23"/>
      <c r="AB12" s="23"/>
      <c r="AC12" s="24"/>
      <c r="AD12" s="77" t="s">
        <v>123</v>
      </c>
      <c r="AE12" s="76" t="s">
        <v>120</v>
      </c>
      <c r="AF12" s="76" t="s">
        <v>70</v>
      </c>
      <c r="AG12" s="76">
        <f>AE11</f>
        <v>0</v>
      </c>
      <c r="AH12" s="76" t="s">
        <v>71</v>
      </c>
      <c r="AI12" s="76">
        <f>AF11</f>
        <v>-11.711008595656768</v>
      </c>
      <c r="AJ12" s="76"/>
    </row>
    <row r="13" spans="1:36" ht="15" customHeight="1">
      <c r="A13" s="16"/>
      <c r="B13" s="22"/>
      <c r="C13" s="185" t="s">
        <v>12</v>
      </c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24"/>
      <c r="AD13" s="77"/>
      <c r="AE13" s="76" t="s">
        <v>121</v>
      </c>
      <c r="AF13" s="76" t="s">
        <v>70</v>
      </c>
      <c r="AG13" s="76">
        <f>AG11</f>
        <v>29.760622308912193</v>
      </c>
      <c r="AH13" s="76" t="s">
        <v>71</v>
      </c>
      <c r="AI13" s="76">
        <f>AH11</f>
        <v>-23.55149147720596</v>
      </c>
      <c r="AJ13" s="76"/>
    </row>
    <row r="14" spans="1:36" ht="15" customHeight="1">
      <c r="A14" s="16"/>
      <c r="B14" s="22"/>
      <c r="C14" s="36" t="s">
        <v>168</v>
      </c>
      <c r="D14" s="2"/>
      <c r="E14" s="2"/>
      <c r="F14" s="2"/>
      <c r="G14" s="37" t="s">
        <v>13</v>
      </c>
      <c r="H14" s="240">
        <v>100</v>
      </c>
      <c r="I14" s="240"/>
      <c r="J14" s="240"/>
      <c r="K14" s="38" t="s">
        <v>14</v>
      </c>
      <c r="L14" s="23"/>
      <c r="M14" s="23"/>
      <c r="N14" s="23"/>
      <c r="O14" s="23"/>
      <c r="P14" s="23"/>
      <c r="Q14" s="36" t="s">
        <v>171</v>
      </c>
      <c r="R14" s="23"/>
      <c r="S14" s="2"/>
      <c r="T14" s="23"/>
      <c r="U14" s="37" t="s">
        <v>13</v>
      </c>
      <c r="V14" s="240">
        <v>0</v>
      </c>
      <c r="W14" s="240"/>
      <c r="X14" s="240"/>
      <c r="Y14" s="38" t="s">
        <v>15</v>
      </c>
      <c r="Z14" s="23"/>
      <c r="AA14" s="23"/>
      <c r="AB14" s="23"/>
      <c r="AC14" s="24"/>
      <c r="AE14" s="76" t="s">
        <v>122</v>
      </c>
      <c r="AF14" s="76" t="s">
        <v>70</v>
      </c>
      <c r="AG14" s="76">
        <f>AI11</f>
        <v>90</v>
      </c>
      <c r="AH14" s="76" t="s">
        <v>71</v>
      </c>
      <c r="AI14" s="76">
        <f>AJ11</f>
        <v>0</v>
      </c>
      <c r="AJ14" s="76"/>
    </row>
    <row r="15" spans="1:36" ht="15" customHeight="1">
      <c r="A15" s="16"/>
      <c r="B15" s="22"/>
      <c r="C15" s="36" t="s">
        <v>169</v>
      </c>
      <c r="D15" s="2"/>
      <c r="E15" s="2"/>
      <c r="F15" s="2"/>
      <c r="G15" s="37" t="s">
        <v>13</v>
      </c>
      <c r="H15" s="240">
        <v>100</v>
      </c>
      <c r="I15" s="240"/>
      <c r="J15" s="240"/>
      <c r="K15" s="38" t="s">
        <v>14</v>
      </c>
      <c r="L15" s="23"/>
      <c r="M15" s="23"/>
      <c r="N15" s="23"/>
      <c r="O15" s="23"/>
      <c r="P15" s="23"/>
      <c r="Q15" s="36" t="s">
        <v>172</v>
      </c>
      <c r="R15" s="23"/>
      <c r="S15" s="2"/>
      <c r="T15" s="23"/>
      <c r="U15" s="37" t="s">
        <v>13</v>
      </c>
      <c r="V15" s="240">
        <v>0</v>
      </c>
      <c r="W15" s="240"/>
      <c r="X15" s="240"/>
      <c r="Y15" s="38" t="s">
        <v>15</v>
      </c>
      <c r="Z15" s="23"/>
      <c r="AA15" s="23"/>
      <c r="AB15" s="23"/>
      <c r="AC15" s="24"/>
      <c r="AD15" s="77" t="s">
        <v>125</v>
      </c>
      <c r="AE15" s="77" t="s">
        <v>120</v>
      </c>
      <c r="AF15" s="77" t="s">
        <v>70</v>
      </c>
      <c r="AG15" s="77">
        <f>AE10</f>
        <v>0</v>
      </c>
      <c r="AH15" s="77" t="s">
        <v>71</v>
      </c>
      <c r="AI15" s="77">
        <f>AF10</f>
        <v>-90</v>
      </c>
      <c r="AJ15" s="76"/>
    </row>
    <row r="16" spans="1:36" ht="15" customHeight="1">
      <c r="A16" s="16"/>
      <c r="B16" s="22"/>
      <c r="C16" s="36" t="s">
        <v>170</v>
      </c>
      <c r="D16" s="2"/>
      <c r="E16" s="2"/>
      <c r="F16" s="2"/>
      <c r="G16" s="37" t="s">
        <v>13</v>
      </c>
      <c r="H16" s="240">
        <v>-100</v>
      </c>
      <c r="I16" s="240"/>
      <c r="J16" s="240"/>
      <c r="K16" s="38" t="s">
        <v>15</v>
      </c>
      <c r="L16" s="23"/>
      <c r="M16" s="39" t="s">
        <v>16</v>
      </c>
      <c r="N16" s="23"/>
      <c r="O16" s="23"/>
      <c r="P16" s="23"/>
      <c r="R16" s="23"/>
      <c r="S16" s="2"/>
      <c r="T16" s="23"/>
      <c r="U16" s="2"/>
      <c r="V16" s="40"/>
      <c r="W16" s="2"/>
      <c r="X16" s="2"/>
      <c r="Y16" s="40"/>
      <c r="Z16" s="23"/>
      <c r="AA16" s="23"/>
      <c r="AB16" s="23"/>
      <c r="AC16" s="24"/>
      <c r="AD16" s="77"/>
      <c r="AE16" s="77" t="s">
        <v>121</v>
      </c>
      <c r="AF16" s="77" t="s">
        <v>70</v>
      </c>
      <c r="AG16" s="77">
        <f>AG10</f>
        <v>45</v>
      </c>
      <c r="AH16" s="77" t="s">
        <v>71</v>
      </c>
      <c r="AI16" s="77">
        <f>AH10</f>
        <v>-90</v>
      </c>
    </row>
    <row r="17" spans="1:59" ht="15" customHeight="1">
      <c r="A17" s="16"/>
      <c r="B17" s="25"/>
      <c r="C17" s="36" t="s">
        <v>17</v>
      </c>
      <c r="D17" s="2"/>
      <c r="E17" s="2"/>
      <c r="F17" s="2"/>
      <c r="G17" s="37" t="s">
        <v>13</v>
      </c>
      <c r="H17" s="281">
        <v>5620</v>
      </c>
      <c r="I17" s="281"/>
      <c r="J17" s="281"/>
      <c r="K17" s="38" t="s">
        <v>18</v>
      </c>
      <c r="L17" s="23"/>
      <c r="M17" s="23"/>
      <c r="N17" s="23"/>
      <c r="O17" s="23"/>
      <c r="P17" s="23"/>
      <c r="Q17" s="36" t="s">
        <v>19</v>
      </c>
      <c r="R17" s="2"/>
      <c r="S17" s="2"/>
      <c r="T17" s="2"/>
      <c r="U17" s="37" t="s">
        <v>13</v>
      </c>
      <c r="V17" s="282">
        <v>1</v>
      </c>
      <c r="W17" s="282"/>
      <c r="X17" s="282"/>
      <c r="Y17" s="2"/>
      <c r="Z17" s="2"/>
      <c r="AA17" s="2"/>
      <c r="AB17" s="2"/>
      <c r="AC17" s="24"/>
      <c r="AE17" s="77" t="s">
        <v>122</v>
      </c>
      <c r="AF17" s="77" t="s">
        <v>70</v>
      </c>
      <c r="AG17" s="77">
        <f>AI11</f>
        <v>90</v>
      </c>
      <c r="AH17" s="77" t="s">
        <v>71</v>
      </c>
      <c r="AI17" s="77">
        <f>AJ10</f>
        <v>-90</v>
      </c>
    </row>
    <row r="18" spans="1:59" ht="15" customHeight="1">
      <c r="A18" s="16"/>
      <c r="B18" s="22"/>
      <c r="C18" s="36" t="s">
        <v>20</v>
      </c>
      <c r="D18" s="2"/>
      <c r="E18" s="2"/>
      <c r="F18" s="2"/>
      <c r="G18" s="37" t="s">
        <v>13</v>
      </c>
      <c r="H18" s="281">
        <v>5620</v>
      </c>
      <c r="I18" s="281"/>
      <c r="J18" s="281"/>
      <c r="K18" s="38" t="s">
        <v>18</v>
      </c>
      <c r="L18" s="23"/>
      <c r="M18" s="23"/>
      <c r="N18" s="23"/>
      <c r="O18" s="23"/>
      <c r="P18" s="23"/>
      <c r="Q18" s="36" t="s">
        <v>21</v>
      </c>
      <c r="R18" s="23"/>
      <c r="S18" s="2"/>
      <c r="T18" s="23"/>
      <c r="U18" s="37" t="s">
        <v>13</v>
      </c>
      <c r="V18" s="281">
        <v>5620</v>
      </c>
      <c r="W18" s="281"/>
      <c r="X18" s="281"/>
      <c r="Y18" s="38" t="s">
        <v>18</v>
      </c>
      <c r="Z18" s="2"/>
      <c r="AA18" s="2"/>
      <c r="AB18" s="2"/>
      <c r="AC18" s="24"/>
      <c r="AD18" s="9" t="s">
        <v>156</v>
      </c>
      <c r="AE18" s="111">
        <f xml:space="preserve"> ROUND(MAX(MAX(L206,L207,L208,L210,L211,L215,L216),-MIN(L206,L207,L208,L210,L211,R215,R216)),3)</f>
        <v>0.89300000000000002</v>
      </c>
      <c r="AF18" s="75" t="s">
        <v>115</v>
      </c>
      <c r="AG18" s="75">
        <f>P*1000/Area/Fy</f>
        <v>-1.7806267806267807E-2</v>
      </c>
    </row>
    <row r="19" spans="1:59" ht="15" customHeight="1">
      <c r="A19" s="16"/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F19" s="75" t="s">
        <v>116</v>
      </c>
      <c r="AG19" s="75">
        <f>Mx*1000000/Zxx/Fy</f>
        <v>7.9093900278410539E-2</v>
      </c>
    </row>
    <row r="20" spans="1:59" ht="15" customHeight="1">
      <c r="A20" s="16"/>
      <c r="B20" s="22"/>
      <c r="C20" s="185" t="s">
        <v>22</v>
      </c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26"/>
      <c r="AF20" s="75" t="s">
        <v>117</v>
      </c>
      <c r="AG20" s="75">
        <f>My*1000000/Zyy/Fy</f>
        <v>0.57155921353452221</v>
      </c>
    </row>
    <row r="21" spans="1:59" ht="15" customHeight="1">
      <c r="A21" s="16"/>
      <c r="B21" s="22"/>
      <c r="C21" s="36" t="s">
        <v>23</v>
      </c>
      <c r="D21" s="2"/>
      <c r="E21" s="2"/>
      <c r="F21" s="23"/>
      <c r="G21" s="37" t="s">
        <v>13</v>
      </c>
      <c r="H21" s="283">
        <v>360</v>
      </c>
      <c r="I21" s="283"/>
      <c r="J21" s="283"/>
      <c r="K21" s="38" t="s">
        <v>24</v>
      </c>
      <c r="L21" s="2"/>
      <c r="M21" s="2"/>
      <c r="N21" s="2"/>
      <c r="O21" s="2"/>
      <c r="P21" s="2"/>
      <c r="Q21" s="36" t="s">
        <v>165</v>
      </c>
      <c r="R21" s="110"/>
      <c r="S21" s="110"/>
      <c r="T21" s="23"/>
      <c r="U21" s="37" t="s">
        <v>13</v>
      </c>
      <c r="V21" s="231">
        <v>1</v>
      </c>
      <c r="W21" s="231"/>
      <c r="X21" s="231"/>
      <c r="Y21" s="2"/>
      <c r="Z21" s="2"/>
      <c r="AA21" s="2"/>
      <c r="AB21" s="2"/>
      <c r="AC21" s="26"/>
      <c r="AF21" s="75" t="s">
        <v>114</v>
      </c>
      <c r="AG21" s="75">
        <f>IF(AND(AG19=0,AG20=0),SIGN(P)*90,DEGREES(ATAN(AG18/(AG19^2+AG20^2)^0.5)))</f>
        <v>-1.7675735409402691</v>
      </c>
    </row>
    <row r="22" spans="1:59" ht="15" customHeight="1">
      <c r="A22" s="16"/>
      <c r="B22" s="22"/>
      <c r="C22" s="36" t="s">
        <v>25</v>
      </c>
      <c r="D22" s="2"/>
      <c r="E22" s="2"/>
      <c r="F22" s="23"/>
      <c r="G22" s="37" t="s">
        <v>13</v>
      </c>
      <c r="H22" s="278">
        <v>210000</v>
      </c>
      <c r="I22" s="278"/>
      <c r="J22" s="278"/>
      <c r="K22" s="38" t="s">
        <v>24</v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6"/>
      <c r="AF22" s="75" t="s">
        <v>118</v>
      </c>
      <c r="AG22" s="75">
        <f>IF(AND(AG19=0,AG20=0),0,IF(AG20=0,0,IF(AG19=0,90,DEGREES(ATAN(AG20/AG19)))))</f>
        <v>82.121293549368332</v>
      </c>
    </row>
    <row r="23" spans="1:59" ht="15" customHeight="1">
      <c r="A23" s="16"/>
      <c r="B23" s="2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3"/>
      <c r="AA23" s="23"/>
      <c r="AB23" s="23"/>
      <c r="AC23" s="26"/>
      <c r="AF23" s="79" t="s">
        <v>119</v>
      </c>
      <c r="AG23" s="75" t="str">
        <f>IsWebCompact(Fy,h,tw,Bft,tft,Bfb,tfb,rr,AG21,AG22,1)</f>
        <v>YES</v>
      </c>
      <c r="AI23" s="79" t="s">
        <v>127</v>
      </c>
      <c r="AJ23" s="78" t="str">
        <f>IF(AND(AG23="YES",AG24="YES"),"YES","NO")</f>
        <v>YES</v>
      </c>
    </row>
    <row r="24" spans="1:59" ht="15" customHeight="1">
      <c r="A24" s="16"/>
      <c r="B24" s="22"/>
      <c r="C24" s="185" t="s">
        <v>26</v>
      </c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26"/>
      <c r="AF24" s="79" t="s">
        <v>126</v>
      </c>
      <c r="AG24" s="77" t="str">
        <f>IsFlangeCompact(Fy,h,tw,Bft,tft,Bfb,tfb,rr,AG21,AG22,1)</f>
        <v>YES</v>
      </c>
    </row>
    <row r="25" spans="1:59" ht="15" customHeight="1">
      <c r="A25" s="16"/>
      <c r="B25" s="22"/>
      <c r="C25" s="36" t="s">
        <v>27</v>
      </c>
      <c r="D25" s="2"/>
      <c r="E25" s="2"/>
      <c r="F25" s="2"/>
      <c r="G25" s="2"/>
      <c r="H25" s="284" t="s">
        <v>599</v>
      </c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6"/>
      <c r="Y25" s="23"/>
      <c r="Z25" s="23"/>
      <c r="AA25" s="23"/>
      <c r="AB25" s="23"/>
      <c r="AC25" s="26"/>
      <c r="AE25" s="2" t="s">
        <v>110</v>
      </c>
      <c r="AF25" s="2">
        <f>SQRT(Fy/100)</f>
        <v>1.8973665961010275</v>
      </c>
    </row>
    <row r="26" spans="1:59" ht="15" customHeight="1">
      <c r="A26" s="16"/>
      <c r="B26" s="22"/>
      <c r="C26" s="36" t="s">
        <v>29</v>
      </c>
      <c r="D26" s="2"/>
      <c r="E26" s="2"/>
      <c r="F26" s="2"/>
      <c r="G26" s="2"/>
      <c r="H26" s="287">
        <f>VLOOKUP(Prof,St_Table,2,FALSE)</f>
        <v>600</v>
      </c>
      <c r="I26" s="287"/>
      <c r="J26" s="287"/>
      <c r="K26" s="38" t="s">
        <v>18</v>
      </c>
      <c r="L26" s="23"/>
      <c r="M26" s="23"/>
      <c r="N26" s="23"/>
      <c r="O26" s="23"/>
      <c r="P26" s="23"/>
      <c r="Q26" s="36" t="s">
        <v>28</v>
      </c>
      <c r="R26" s="36"/>
      <c r="S26" s="2"/>
      <c r="T26" s="2"/>
      <c r="U26" s="23"/>
      <c r="V26" s="288">
        <f>VLOOKUP(Prof,St_Table,4,FALSE)</f>
        <v>12</v>
      </c>
      <c r="W26" s="288"/>
      <c r="X26" s="288"/>
      <c r="Y26" s="38" t="s">
        <v>18</v>
      </c>
      <c r="Z26" s="23"/>
      <c r="AA26" s="23"/>
      <c r="AB26" s="23"/>
      <c r="AC26" s="26"/>
    </row>
    <row r="27" spans="1:59" ht="15" customHeight="1">
      <c r="A27" s="16"/>
      <c r="B27" s="22"/>
      <c r="C27" s="36" t="s">
        <v>113</v>
      </c>
      <c r="D27" s="2"/>
      <c r="E27" s="2"/>
      <c r="F27" s="2"/>
      <c r="G27" s="2"/>
      <c r="H27" s="287">
        <f>VLOOKUP(Prof,St_Table,3,FALSE)</f>
        <v>220</v>
      </c>
      <c r="I27" s="287"/>
      <c r="J27" s="287"/>
      <c r="K27" s="38" t="s">
        <v>18</v>
      </c>
      <c r="L27" s="23"/>
      <c r="M27" s="23"/>
      <c r="N27" s="23"/>
      <c r="O27" s="23"/>
      <c r="P27" s="23"/>
      <c r="Q27" s="36" t="s">
        <v>112</v>
      </c>
      <c r="R27" s="36"/>
      <c r="S27" s="2"/>
      <c r="T27" s="2"/>
      <c r="U27" s="23"/>
      <c r="V27" s="288">
        <f>VLOOKUP(Prof,St_Table,5,FALSE)</f>
        <v>19</v>
      </c>
      <c r="W27" s="288"/>
      <c r="X27" s="288"/>
      <c r="Y27" s="38" t="s">
        <v>18</v>
      </c>
      <c r="Z27" s="2"/>
      <c r="AA27" s="23"/>
      <c r="AB27" s="23"/>
      <c r="AC27" s="26"/>
      <c r="AF27" s="2" t="s">
        <v>93</v>
      </c>
      <c r="AG27" s="2">
        <f>h-tft-tfb</f>
        <v>562</v>
      </c>
    </row>
    <row r="28" spans="1:59" ht="15" customHeight="1">
      <c r="A28" s="16"/>
      <c r="B28" s="22"/>
      <c r="C28" s="116" t="s">
        <v>80</v>
      </c>
      <c r="D28" s="117"/>
      <c r="E28" s="117"/>
      <c r="F28" s="117"/>
      <c r="G28" s="117"/>
      <c r="H28" s="280">
        <f>Bft</f>
        <v>220</v>
      </c>
      <c r="I28" s="280"/>
      <c r="J28" s="280"/>
      <c r="K28" s="118" t="s">
        <v>18</v>
      </c>
      <c r="L28" s="117"/>
      <c r="M28" s="117"/>
      <c r="N28" s="117"/>
      <c r="O28" s="117"/>
      <c r="P28" s="117"/>
      <c r="Q28" s="116" t="s">
        <v>81</v>
      </c>
      <c r="R28" s="117"/>
      <c r="S28" s="117"/>
      <c r="T28" s="117"/>
      <c r="U28" s="117"/>
      <c r="V28" s="279">
        <f>tft</f>
        <v>19</v>
      </c>
      <c r="W28" s="279"/>
      <c r="X28" s="279"/>
      <c r="Y28" s="118" t="s">
        <v>18</v>
      </c>
      <c r="Z28" s="117"/>
      <c r="AA28" s="117"/>
      <c r="AB28" s="117"/>
      <c r="AC28" s="26"/>
      <c r="AD28" s="1" t="s">
        <v>166</v>
      </c>
      <c r="AE28" s="2"/>
      <c r="AF28" s="2" t="s">
        <v>111</v>
      </c>
      <c r="AG28" s="2">
        <f>Hw-2*rr</f>
        <v>514</v>
      </c>
      <c r="AI28" s="2"/>
      <c r="AJ28" s="2"/>
      <c r="AL28" s="2"/>
      <c r="AQ28" s="23"/>
      <c r="AR28" s="23"/>
      <c r="AS28" s="23"/>
      <c r="AT28" s="23"/>
      <c r="AU28" s="23"/>
      <c r="AW28" s="36"/>
      <c r="AX28" s="2"/>
      <c r="AY28" s="2"/>
      <c r="AZ28" s="23"/>
      <c r="BE28" s="2"/>
      <c r="BF28" s="23"/>
      <c r="BG28" s="23"/>
    </row>
    <row r="29" spans="1:59" ht="15" customHeight="1">
      <c r="A29" s="16"/>
      <c r="B29" s="22"/>
      <c r="C29" s="36" t="s">
        <v>735</v>
      </c>
      <c r="F29" s="23"/>
      <c r="G29" s="23"/>
      <c r="H29" s="234">
        <f>VLOOKUP(Prof,St_Table,6,FALSE)</f>
        <v>24</v>
      </c>
      <c r="I29" s="234"/>
      <c r="J29" s="234"/>
      <c r="K29" s="38" t="s">
        <v>18</v>
      </c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4"/>
      <c r="AF29" s="2" t="s">
        <v>109</v>
      </c>
      <c r="AG29" s="2">
        <f>(Bft-2*rr-tw)/2</f>
        <v>80</v>
      </c>
    </row>
    <row r="30" spans="1:59" ht="15" customHeight="1">
      <c r="A30" s="16"/>
      <c r="B30" s="27"/>
      <c r="AC30" s="28"/>
      <c r="AF30" s="2">
        <v>0</v>
      </c>
      <c r="AI30" s="2"/>
      <c r="AJ30" s="2"/>
      <c r="AK30" s="36" t="s">
        <v>83</v>
      </c>
      <c r="AL30" s="2"/>
      <c r="AM30" s="236">
        <v>0</v>
      </c>
      <c r="AN30" s="236"/>
      <c r="AO30" s="236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</row>
    <row r="31" spans="1:59" ht="15" customHeight="1">
      <c r="A31" s="16"/>
      <c r="B31" s="22"/>
      <c r="C31" s="185" t="s">
        <v>30</v>
      </c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29"/>
      <c r="AE31" s="2">
        <f>IF(Stiff_N=0,Hw,Stiff1-tft)</f>
        <v>562</v>
      </c>
      <c r="AF31" s="2">
        <v>1</v>
      </c>
      <c r="AH31" s="36" t="s">
        <v>84</v>
      </c>
      <c r="AI31" s="36"/>
      <c r="AJ31" s="36"/>
      <c r="AK31" s="36"/>
      <c r="AL31" s="55"/>
      <c r="AM31" s="236">
        <v>400</v>
      </c>
      <c r="AN31" s="236"/>
      <c r="AO31" s="236"/>
      <c r="AP31" s="38" t="s">
        <v>18</v>
      </c>
      <c r="AQ31" s="2"/>
      <c r="AR31" s="38" t="s">
        <v>82</v>
      </c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</row>
    <row r="32" spans="1:59" ht="15" customHeight="1">
      <c r="A32" s="16"/>
      <c r="B32" s="22"/>
      <c r="C32" s="36" t="s">
        <v>31</v>
      </c>
      <c r="D32" s="2"/>
      <c r="E32" s="2"/>
      <c r="F32" s="2"/>
      <c r="G32" s="37" t="s">
        <v>13</v>
      </c>
      <c r="H32" s="238">
        <f>VLOOKUP(Prof,St_Table,14,FALSE)*100</f>
        <v>15600</v>
      </c>
      <c r="I32" s="238"/>
      <c r="J32" s="238"/>
      <c r="K32" s="38" t="s">
        <v>32</v>
      </c>
      <c r="L32" s="23"/>
      <c r="M32" s="23"/>
      <c r="N32" s="23"/>
      <c r="O32" s="23"/>
      <c r="P32" s="23"/>
      <c r="Q32" s="36" t="s">
        <v>33</v>
      </c>
      <c r="R32" s="23"/>
      <c r="S32" s="36"/>
      <c r="T32" s="2"/>
      <c r="U32" s="37" t="s">
        <v>13</v>
      </c>
      <c r="V32" s="238">
        <f>VLOOKUP(Prof,St_Table,16,FALSE)</f>
        <v>122.4</v>
      </c>
      <c r="W32" s="238"/>
      <c r="X32" s="238"/>
      <c r="Y32" s="38" t="s">
        <v>34</v>
      </c>
      <c r="Z32" s="2"/>
      <c r="AA32" s="2"/>
      <c r="AB32" s="2"/>
      <c r="AC32" s="29"/>
      <c r="AE32" s="2">
        <f>IF(Stiff_N=1,Hw-Stiff1,IF(Stiff_N&gt;1,Stiff2-Stiff1,0))</f>
        <v>0</v>
      </c>
      <c r="AF32" s="2">
        <v>2</v>
      </c>
      <c r="AH32" s="36" t="s">
        <v>85</v>
      </c>
      <c r="AI32" s="36"/>
      <c r="AJ32" s="36"/>
      <c r="AK32" s="36"/>
      <c r="AL32" s="55"/>
      <c r="AM32" s="236">
        <v>800</v>
      </c>
      <c r="AN32" s="236"/>
      <c r="AO32" s="236"/>
      <c r="AP32" s="38" t="s">
        <v>18</v>
      </c>
      <c r="AQ32" s="2"/>
      <c r="AR32" s="38" t="s">
        <v>82</v>
      </c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</row>
    <row r="33" spans="1:59" ht="15" customHeight="1">
      <c r="A33" s="16"/>
      <c r="B33" s="22"/>
      <c r="C33" s="36" t="s">
        <v>35</v>
      </c>
      <c r="D33" s="2"/>
      <c r="E33" s="2"/>
      <c r="F33" s="2"/>
      <c r="G33" s="37" t="s">
        <v>13</v>
      </c>
      <c r="H33" s="237">
        <f>h/2</f>
        <v>300</v>
      </c>
      <c r="I33" s="237"/>
      <c r="J33" s="237"/>
      <c r="K33" s="38" t="s">
        <v>18</v>
      </c>
      <c r="L33" s="2"/>
      <c r="M33" s="2"/>
      <c r="N33" s="2"/>
      <c r="O33" s="2"/>
      <c r="P33" s="2"/>
      <c r="Q33" s="36" t="s">
        <v>36</v>
      </c>
      <c r="R33" s="2"/>
      <c r="S33" s="2"/>
      <c r="T33" s="2"/>
      <c r="U33" s="37" t="s">
        <v>13</v>
      </c>
      <c r="V33" s="237">
        <f>Ytop</f>
        <v>300</v>
      </c>
      <c r="W33" s="237"/>
      <c r="X33" s="237"/>
      <c r="Y33" s="38" t="s">
        <v>18</v>
      </c>
      <c r="Z33" s="2"/>
      <c r="AA33" s="2"/>
      <c r="AB33" s="2"/>
      <c r="AC33" s="28"/>
      <c r="AE33" s="2">
        <f>IF(Stiff_N=2,Hw-Stiff2,IF(Stiff_N&gt;2,Stiff3-Stiff2,0))</f>
        <v>0</v>
      </c>
      <c r="AF33" s="2">
        <v>3</v>
      </c>
      <c r="AH33" s="36" t="s">
        <v>86</v>
      </c>
      <c r="AI33" s="36"/>
      <c r="AJ33" s="36"/>
      <c r="AK33" s="36"/>
      <c r="AL33" s="55"/>
      <c r="AM33" s="236">
        <v>900</v>
      </c>
      <c r="AN33" s="236"/>
      <c r="AO33" s="236"/>
      <c r="AP33" s="38" t="s">
        <v>18</v>
      </c>
      <c r="AQ33" s="2"/>
      <c r="AR33" s="38" t="s">
        <v>82</v>
      </c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</row>
    <row r="34" spans="1:59" ht="15" customHeight="1">
      <c r="A34" s="16"/>
      <c r="B34" s="22"/>
      <c r="C34" s="36" t="s">
        <v>37</v>
      </c>
      <c r="D34" s="2"/>
      <c r="E34" s="2"/>
      <c r="F34" s="2"/>
      <c r="G34" s="37" t="s">
        <v>13</v>
      </c>
      <c r="H34" s="197">
        <f>VLOOKUP(Prof,St_Table,8,FALSE)*10000</f>
        <v>920800000</v>
      </c>
      <c r="I34" s="197"/>
      <c r="J34" s="197"/>
      <c r="K34" s="38" t="s">
        <v>38</v>
      </c>
      <c r="L34" s="2"/>
      <c r="M34" s="2"/>
      <c r="N34" s="2"/>
      <c r="O34" s="2"/>
      <c r="P34" s="2"/>
      <c r="Q34" s="36" t="s">
        <v>39</v>
      </c>
      <c r="R34" s="2"/>
      <c r="S34" s="2"/>
      <c r="T34" s="2"/>
      <c r="U34" s="37" t="s">
        <v>13</v>
      </c>
      <c r="V34" s="197">
        <f>VLOOKUP(Prof,St_Table,9,FALSE)*10000</f>
        <v>33870000</v>
      </c>
      <c r="W34" s="197"/>
      <c r="X34" s="197"/>
      <c r="Y34" s="38" t="s">
        <v>38</v>
      </c>
      <c r="Z34" s="2"/>
      <c r="AA34" s="2"/>
      <c r="AB34" s="2"/>
      <c r="AC34" s="29"/>
      <c r="AE34" s="2">
        <f>IF(Stiff_N=3,Hw-(Stiff3-tft),0)</f>
        <v>0</v>
      </c>
    </row>
    <row r="35" spans="1:59" ht="15" customHeight="1">
      <c r="A35" s="16"/>
      <c r="B35" s="22"/>
      <c r="C35" s="36" t="s">
        <v>40</v>
      </c>
      <c r="D35" s="2"/>
      <c r="E35" s="2"/>
      <c r="F35" s="2"/>
      <c r="G35" s="37" t="s">
        <v>13</v>
      </c>
      <c r="H35" s="197">
        <f>VLOOKUP(Prof,St_Table,12,FALSE)*1000</f>
        <v>3512000</v>
      </c>
      <c r="I35" s="197"/>
      <c r="J35" s="197"/>
      <c r="K35" s="38" t="s">
        <v>41</v>
      </c>
      <c r="L35" s="2"/>
      <c r="M35" s="2"/>
      <c r="N35" s="2"/>
      <c r="O35" s="2"/>
      <c r="P35" s="2"/>
      <c r="Q35" s="36" t="s">
        <v>42</v>
      </c>
      <c r="R35" s="2"/>
      <c r="S35" s="2"/>
      <c r="T35" s="2"/>
      <c r="U35" s="37" t="s">
        <v>13</v>
      </c>
      <c r="V35" s="197">
        <f>VLOOKUP(Prof,St_Table,13,FALSE)*1000</f>
        <v>486000</v>
      </c>
      <c r="W35" s="197"/>
      <c r="X35" s="197"/>
      <c r="Y35" s="38" t="s">
        <v>41</v>
      </c>
      <c r="Z35" s="2"/>
      <c r="AA35" s="2"/>
      <c r="AB35" s="23"/>
      <c r="AC35" s="29"/>
    </row>
    <row r="36" spans="1:59" ht="15" customHeight="1">
      <c r="A36" s="16"/>
      <c r="B36" s="22"/>
      <c r="C36" s="36" t="s">
        <v>43</v>
      </c>
      <c r="D36" s="2"/>
      <c r="E36" s="2"/>
      <c r="F36" s="2"/>
      <c r="G36" s="37" t="s">
        <v>13</v>
      </c>
      <c r="H36" s="197">
        <f>VLOOKUP(Prof,St_Table,10,FALSE)*1000</f>
        <v>3069000</v>
      </c>
      <c r="I36" s="197"/>
      <c r="J36" s="197"/>
      <c r="K36" s="38" t="s">
        <v>41</v>
      </c>
      <c r="L36" s="2"/>
      <c r="M36" s="2"/>
      <c r="N36" s="2"/>
      <c r="O36" s="2"/>
      <c r="P36" s="2"/>
      <c r="Q36" s="36" t="s">
        <v>87</v>
      </c>
      <c r="R36" s="2"/>
      <c r="S36" s="2"/>
      <c r="T36" s="2"/>
      <c r="U36" s="37" t="s">
        <v>13</v>
      </c>
      <c r="V36" s="197">
        <f>VLOOKUP(Prof,St_Table,11,FALSE)*1000</f>
        <v>308000</v>
      </c>
      <c r="W36" s="197"/>
      <c r="X36" s="197"/>
      <c r="Y36" s="38" t="s">
        <v>41</v>
      </c>
      <c r="Z36" s="2"/>
      <c r="AC36" s="26"/>
    </row>
    <row r="37" spans="1:59" ht="15" customHeight="1">
      <c r="A37" s="16"/>
      <c r="B37" s="22"/>
      <c r="C37" s="36" t="s">
        <v>44</v>
      </c>
      <c r="D37" s="2"/>
      <c r="E37" s="2"/>
      <c r="F37" s="2"/>
      <c r="G37" s="37" t="s">
        <v>13</v>
      </c>
      <c r="H37" s="239">
        <f>Sxxtop</f>
        <v>3069000</v>
      </c>
      <c r="I37" s="239"/>
      <c r="J37" s="239"/>
      <c r="K37" s="38" t="s">
        <v>41</v>
      </c>
      <c r="L37" s="2"/>
      <c r="M37" s="2"/>
      <c r="N37" s="2"/>
      <c r="O37" s="2"/>
      <c r="P37" s="2"/>
      <c r="Q37" s="36" t="s">
        <v>88</v>
      </c>
      <c r="R37" s="2"/>
      <c r="S37" s="2"/>
      <c r="T37" s="2"/>
      <c r="U37" s="37" t="s">
        <v>13</v>
      </c>
      <c r="V37" s="197">
        <f>Syytop</f>
        <v>308000</v>
      </c>
      <c r="W37" s="197"/>
      <c r="X37" s="197"/>
      <c r="Y37" s="38" t="s">
        <v>41</v>
      </c>
      <c r="Z37" s="2"/>
      <c r="AC37" s="24"/>
    </row>
    <row r="38" spans="1:59" ht="15" customHeight="1">
      <c r="A38" s="16"/>
      <c r="B38" s="22"/>
      <c r="C38" s="36" t="s">
        <v>45</v>
      </c>
      <c r="D38" s="2"/>
      <c r="E38" s="2"/>
      <c r="F38" s="2"/>
      <c r="G38" s="37" t="s">
        <v>13</v>
      </c>
      <c r="H38" s="238">
        <f>VLOOKUP(Prof,St_Table,27,FALSE)*10</f>
        <v>243</v>
      </c>
      <c r="I38" s="238"/>
      <c r="J38" s="238"/>
      <c r="K38" s="38" t="s">
        <v>18</v>
      </c>
      <c r="L38" s="2"/>
      <c r="M38" s="2"/>
      <c r="N38" s="2"/>
      <c r="O38" s="2"/>
      <c r="P38" s="2"/>
      <c r="Q38" s="36" t="s">
        <v>46</v>
      </c>
      <c r="R38" s="2"/>
      <c r="S38" s="2"/>
      <c r="T38" s="2"/>
      <c r="U38" s="37" t="s">
        <v>13</v>
      </c>
      <c r="V38" s="238">
        <f>VLOOKUP(Prof,St_Table,28,FALSE)*10</f>
        <v>46.6</v>
      </c>
      <c r="W38" s="238"/>
      <c r="X38" s="238"/>
      <c r="Y38" s="38" t="s">
        <v>18</v>
      </c>
      <c r="Z38" s="2"/>
      <c r="AC38" s="24"/>
    </row>
    <row r="39" spans="1:59" ht="15" customHeight="1">
      <c r="A39" s="16"/>
      <c r="B39" s="22"/>
      <c r="C39" s="36" t="s">
        <v>154</v>
      </c>
      <c r="D39" s="78"/>
      <c r="E39" s="78"/>
      <c r="F39" s="78"/>
      <c r="G39" s="37" t="s">
        <v>13</v>
      </c>
      <c r="H39" s="188">
        <f>(tft*Bft^3/12/(Bft*tft+tw*Hw/6))^0.5</f>
        <v>56.379139230499483</v>
      </c>
      <c r="I39" s="188"/>
      <c r="J39" s="188"/>
      <c r="K39" s="38" t="s">
        <v>18</v>
      </c>
      <c r="Q39" s="36" t="s">
        <v>231</v>
      </c>
      <c r="R39" s="120"/>
      <c r="S39" s="120"/>
      <c r="T39" s="120"/>
      <c r="U39" s="37" t="s">
        <v>13</v>
      </c>
      <c r="V39" s="197">
        <f>VLOOKUP(Prof,St_Table,36,FALSE)*10000</f>
        <v>1650000</v>
      </c>
      <c r="W39" s="197"/>
      <c r="X39" s="197"/>
      <c r="Y39" s="38" t="s">
        <v>38</v>
      </c>
      <c r="AC39" s="24"/>
    </row>
    <row r="40" spans="1:59" ht="15" customHeight="1">
      <c r="A40" s="16"/>
      <c r="B40" s="27"/>
      <c r="AC40" s="24"/>
    </row>
    <row r="41" spans="1:59" ht="15" customHeight="1">
      <c r="A41" s="16"/>
      <c r="B41" s="22"/>
      <c r="C41" s="185" t="s">
        <v>47</v>
      </c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24"/>
      <c r="AE41" s="56"/>
    </row>
    <row r="42" spans="1:59" ht="15" customHeight="1">
      <c r="A42" s="16"/>
      <c r="B42" s="22"/>
      <c r="Z42" s="41"/>
      <c r="AA42" s="41"/>
      <c r="AB42" s="41"/>
      <c r="AC42" s="24"/>
    </row>
    <row r="43" spans="1:59" ht="15" customHeight="1">
      <c r="A43" s="16"/>
      <c r="B43" s="22"/>
      <c r="C43" s="42" t="s">
        <v>48</v>
      </c>
      <c r="D43" s="43"/>
      <c r="E43" s="43"/>
      <c r="F43" s="43"/>
      <c r="G43" s="37" t="s">
        <v>13</v>
      </c>
      <c r="H43" s="196">
        <f>-Mx*1000000/Sxxtop</f>
        <v>-32.583903551645484</v>
      </c>
      <c r="I43" s="196"/>
      <c r="J43" s="196"/>
      <c r="K43" s="36" t="s">
        <v>49</v>
      </c>
      <c r="L43" s="43"/>
      <c r="M43" s="43"/>
      <c r="N43" s="43"/>
      <c r="O43" s="43"/>
      <c r="P43" s="43"/>
      <c r="Q43" s="42" t="s">
        <v>50</v>
      </c>
      <c r="R43" s="43"/>
      <c r="S43" s="43"/>
      <c r="T43" s="43"/>
      <c r="U43" s="37" t="s">
        <v>13</v>
      </c>
      <c r="V43" s="196">
        <f>Mx*1000000/Sxxbot</f>
        <v>32.583903551645484</v>
      </c>
      <c r="W43" s="196"/>
      <c r="X43" s="196"/>
      <c r="Y43" s="36" t="s">
        <v>49</v>
      </c>
      <c r="Z43" s="41"/>
      <c r="AA43" s="41"/>
      <c r="AB43" s="41"/>
      <c r="AC43" s="24"/>
    </row>
    <row r="44" spans="1:59" ht="15" customHeight="1">
      <c r="A44" s="16"/>
      <c r="B44" s="22"/>
      <c r="C44" s="42" t="s">
        <v>89</v>
      </c>
      <c r="D44" s="43"/>
      <c r="E44" s="43"/>
      <c r="F44" s="43"/>
      <c r="G44" s="37" t="s">
        <v>13</v>
      </c>
      <c r="H44" s="196">
        <f>-My*1000000/Syytop</f>
        <v>-324.6753246753247</v>
      </c>
      <c r="I44" s="196"/>
      <c r="J44" s="196"/>
      <c r="K44" s="36" t="s">
        <v>49</v>
      </c>
      <c r="L44" s="43"/>
      <c r="M44" s="43"/>
      <c r="N44" s="43"/>
      <c r="O44" s="43"/>
      <c r="P44" s="43"/>
      <c r="Q44" s="42" t="s">
        <v>90</v>
      </c>
      <c r="R44" s="43"/>
      <c r="S44" s="43"/>
      <c r="T44" s="43"/>
      <c r="U44" s="37" t="s">
        <v>13</v>
      </c>
      <c r="V44" s="196">
        <f>My*1000000/Syytop</f>
        <v>324.6753246753247</v>
      </c>
      <c r="W44" s="196"/>
      <c r="X44" s="196"/>
      <c r="Y44" s="36" t="s">
        <v>49</v>
      </c>
      <c r="Z44" s="2"/>
      <c r="AA44" s="2"/>
      <c r="AB44" s="2"/>
      <c r="AC44" s="24"/>
    </row>
    <row r="45" spans="1:59" ht="15" customHeight="1">
      <c r="A45" s="16"/>
      <c r="B45" s="22"/>
      <c r="C45" s="42" t="s">
        <v>92</v>
      </c>
      <c r="D45" s="43"/>
      <c r="E45" s="43"/>
      <c r="F45" s="43"/>
      <c r="G45" s="37" t="s">
        <v>13</v>
      </c>
      <c r="H45" s="196">
        <f>-My*1000000/Syybot</f>
        <v>-324.6753246753247</v>
      </c>
      <c r="I45" s="196"/>
      <c r="J45" s="196"/>
      <c r="K45" s="36" t="s">
        <v>49</v>
      </c>
      <c r="L45" s="43"/>
      <c r="M45" s="43"/>
      <c r="N45" s="43"/>
      <c r="O45" s="43"/>
      <c r="P45" s="43"/>
      <c r="Q45" s="42" t="s">
        <v>91</v>
      </c>
      <c r="R45" s="43"/>
      <c r="S45" s="43"/>
      <c r="T45" s="43"/>
      <c r="U45" s="37" t="s">
        <v>13</v>
      </c>
      <c r="V45" s="196">
        <f>My*1000000/Syybot</f>
        <v>324.6753246753247</v>
      </c>
      <c r="W45" s="196"/>
      <c r="X45" s="196"/>
      <c r="Y45" s="36" t="s">
        <v>49</v>
      </c>
      <c r="Z45" s="2"/>
      <c r="AC45" s="24"/>
    </row>
    <row r="46" spans="1:59" ht="15" customHeight="1">
      <c r="A46" s="16"/>
      <c r="B46" s="22"/>
      <c r="C46" s="44" t="s">
        <v>51</v>
      </c>
      <c r="D46" s="43"/>
      <c r="E46" s="43"/>
      <c r="F46" s="43"/>
      <c r="G46" s="37" t="s">
        <v>13</v>
      </c>
      <c r="H46" s="196">
        <f>P*1000/Area</f>
        <v>-6.4102564102564106</v>
      </c>
      <c r="I46" s="196"/>
      <c r="J46" s="196"/>
      <c r="K46" s="36" t="s">
        <v>49</v>
      </c>
      <c r="L46" s="41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C46" s="24"/>
    </row>
    <row r="47" spans="1:59" ht="15" customHeight="1">
      <c r="A47" s="16"/>
      <c r="B47" s="22"/>
      <c r="C47" s="2"/>
      <c r="D47" s="44" t="s">
        <v>52</v>
      </c>
      <c r="E47" s="2"/>
      <c r="F47" s="2"/>
      <c r="G47" s="37" t="s">
        <v>13</v>
      </c>
      <c r="H47" s="196">
        <f>H43+H44+H46</f>
        <v>-363.66948463722662</v>
      </c>
      <c r="I47" s="196"/>
      <c r="J47" s="196"/>
      <c r="K47" s="36" t="s">
        <v>49</v>
      </c>
      <c r="L47" s="2"/>
      <c r="M47" s="2"/>
      <c r="N47" s="2"/>
      <c r="O47" s="2"/>
      <c r="P47" s="2"/>
      <c r="Q47" s="2"/>
      <c r="R47" s="44" t="s">
        <v>53</v>
      </c>
      <c r="S47" s="2"/>
      <c r="T47" s="2"/>
      <c r="U47" s="37" t="s">
        <v>13</v>
      </c>
      <c r="V47" s="196">
        <f>H43+V44+H46</f>
        <v>285.68116471342279</v>
      </c>
      <c r="W47" s="196"/>
      <c r="X47" s="196"/>
      <c r="Y47" s="36" t="s">
        <v>49</v>
      </c>
      <c r="AC47" s="24"/>
    </row>
    <row r="48" spans="1:59" ht="15" customHeight="1">
      <c r="A48" s="16"/>
      <c r="B48" s="22"/>
      <c r="C48" s="2"/>
      <c r="D48" s="44" t="s">
        <v>54</v>
      </c>
      <c r="E48" s="2"/>
      <c r="F48" s="2"/>
      <c r="G48" s="37" t="s">
        <v>13</v>
      </c>
      <c r="H48" s="196">
        <f>V43+H45+H46</f>
        <v>-298.50167753393561</v>
      </c>
      <c r="I48" s="196"/>
      <c r="J48" s="196"/>
      <c r="K48" s="36" t="s">
        <v>49</v>
      </c>
      <c r="L48" s="2"/>
      <c r="M48" s="2"/>
      <c r="N48" s="2"/>
      <c r="O48" s="2"/>
      <c r="P48" s="2"/>
      <c r="Q48" s="2"/>
      <c r="R48" s="44" t="s">
        <v>55</v>
      </c>
      <c r="S48" s="2"/>
      <c r="T48" s="2"/>
      <c r="U48" s="37" t="s">
        <v>13</v>
      </c>
      <c r="V48" s="196">
        <f>V43+V45+H46</f>
        <v>350.8489718167138</v>
      </c>
      <c r="W48" s="196"/>
      <c r="X48" s="196"/>
      <c r="Y48" s="36" t="s">
        <v>49</v>
      </c>
      <c r="AC48" s="24"/>
    </row>
    <row r="49" spans="1:55" ht="15" customHeight="1">
      <c r="A49" s="16"/>
      <c r="B49" s="27"/>
      <c r="AA49" s="2"/>
      <c r="AB49" s="2"/>
      <c r="AC49" s="24"/>
    </row>
    <row r="50" spans="1:55" ht="15" customHeight="1">
      <c r="A50" s="16"/>
      <c r="B50" s="27"/>
      <c r="AA50" s="2"/>
      <c r="AB50" s="2"/>
      <c r="AC50" s="24"/>
    </row>
    <row r="51" spans="1:55" ht="15" customHeight="1">
      <c r="A51" s="16"/>
      <c r="B51" s="27"/>
      <c r="AA51" s="2"/>
      <c r="AB51" s="2"/>
      <c r="AC51" s="24"/>
    </row>
    <row r="52" spans="1:55" ht="15" customHeight="1" thickBot="1">
      <c r="A52" s="16"/>
      <c r="B52" s="30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2" t="s">
        <v>5</v>
      </c>
    </row>
    <row r="53" spans="1:55" s="2" customFormat="1" ht="15" customHeight="1">
      <c r="A53" s="45"/>
      <c r="B53" s="22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7"/>
    </row>
    <row r="54" spans="1:55" s="2" customFormat="1" ht="15" customHeight="1">
      <c r="A54" s="45"/>
      <c r="B54" s="22"/>
      <c r="C54" s="185" t="s">
        <v>173</v>
      </c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185"/>
      <c r="AB54" s="185"/>
      <c r="AC54" s="47"/>
      <c r="AD54" s="46"/>
      <c r="AF54" s="48"/>
      <c r="AG54" s="48"/>
      <c r="AH54" s="48"/>
      <c r="AI54" s="48"/>
      <c r="AJ54" s="48"/>
      <c r="AL54" s="48"/>
      <c r="AM54" s="48"/>
      <c r="AQ54" s="235"/>
      <c r="AR54" s="235"/>
      <c r="AS54" s="235"/>
      <c r="AT54" s="235"/>
      <c r="AU54" s="235"/>
      <c r="AV54" s="235"/>
      <c r="AW54" s="48"/>
      <c r="AX54" s="48"/>
      <c r="AY54" s="48"/>
      <c r="AZ54" s="48"/>
      <c r="BA54" s="48"/>
      <c r="BB54" s="48"/>
      <c r="BC54" s="46"/>
    </row>
    <row r="55" spans="1:55" s="2" customFormat="1" ht="15" customHeight="1">
      <c r="A55" s="45"/>
      <c r="B55" s="22"/>
      <c r="AC55" s="47"/>
      <c r="AD55" s="46"/>
      <c r="AF55" s="48"/>
      <c r="AG55" s="48"/>
      <c r="AH55" s="48"/>
      <c r="AP55" s="49"/>
      <c r="AQ55" s="49"/>
      <c r="AZ55" s="48"/>
      <c r="BA55" s="48"/>
      <c r="BB55" s="48"/>
      <c r="BC55" s="46"/>
    </row>
    <row r="56" spans="1:55" s="2" customFormat="1" ht="15" customHeight="1">
      <c r="A56" s="45"/>
      <c r="B56" s="22"/>
      <c r="N56" s="235" t="s">
        <v>94</v>
      </c>
      <c r="O56" s="235"/>
      <c r="P56" s="235"/>
      <c r="AC56" s="47"/>
      <c r="AD56" s="46"/>
      <c r="AO56" s="49"/>
      <c r="AP56" s="49"/>
      <c r="AZ56" s="48"/>
      <c r="BA56" s="48"/>
      <c r="BB56" s="48"/>
      <c r="BC56" s="46"/>
    </row>
    <row r="57" spans="1:55" s="2" customFormat="1" ht="15" customHeight="1">
      <c r="A57" s="45"/>
      <c r="B57" s="22"/>
      <c r="C57" s="217" t="s">
        <v>56</v>
      </c>
      <c r="D57" s="217"/>
      <c r="E57" s="217"/>
      <c r="F57" s="217"/>
      <c r="G57" s="217"/>
      <c r="H57" s="232">
        <f>H46-Mx*1000000/Ixx*(Ytop-tft/2)-My*1000000/Iyy*Bft/2</f>
        <v>-362.73009369376263</v>
      </c>
      <c r="I57" s="232"/>
      <c r="J57" s="232"/>
      <c r="K57" s="219">
        <f>($T$57-$H$57)/Bft*(-tw/2-rr)+$N$57</f>
        <v>-126.53286901115261</v>
      </c>
      <c r="L57" s="219"/>
      <c r="M57" s="219"/>
      <c r="N57" s="233">
        <f>(H57+T57)/2</f>
        <v>-37.958909755173863</v>
      </c>
      <c r="O57" s="233"/>
      <c r="P57" s="233"/>
      <c r="Q57" s="232">
        <f>($T$57-$H$57)/Bft*(tw/2+rr)+$N$57</f>
        <v>50.615049500804886</v>
      </c>
      <c r="R57" s="232"/>
      <c r="S57" s="232"/>
      <c r="T57" s="219">
        <f>H46-Mx*1000000/Ixx*(Ytop-tft/2)+My*1000000/Iyy*Bft/2</f>
        <v>286.8122741834149</v>
      </c>
      <c r="U57" s="219"/>
      <c r="V57" s="219"/>
      <c r="AC57" s="47"/>
      <c r="AD57" s="46"/>
      <c r="AF57" s="48"/>
      <c r="AO57" s="50"/>
      <c r="AP57" s="50"/>
      <c r="AW57" s="48"/>
      <c r="AX57" s="48"/>
      <c r="AY57" s="48"/>
      <c r="AZ57" s="48"/>
      <c r="BA57" s="48"/>
      <c r="BB57" s="48"/>
      <c r="BC57" s="46"/>
    </row>
    <row r="58" spans="1:55" s="2" customFormat="1" ht="15" customHeight="1">
      <c r="A58" s="45"/>
      <c r="B58" s="22"/>
      <c r="C58" s="289" t="s">
        <v>95</v>
      </c>
      <c r="D58" s="289"/>
      <c r="E58" s="289"/>
      <c r="F58" s="289"/>
      <c r="G58" s="289"/>
      <c r="H58" s="217"/>
      <c r="I58" s="217"/>
      <c r="J58" s="217"/>
      <c r="K58" s="217" t="s">
        <v>57</v>
      </c>
      <c r="L58" s="217"/>
      <c r="M58" s="217"/>
      <c r="N58" s="233">
        <f>($N$63-$N$57)/(h-tft/2-tfb/2)*(tft/2+rr)+$N$57</f>
        <v>-34.320769007997498</v>
      </c>
      <c r="O58" s="233"/>
      <c r="P58" s="233"/>
      <c r="Q58" s="217"/>
      <c r="R58" s="217"/>
      <c r="S58" s="217"/>
      <c r="T58" s="217"/>
      <c r="U58" s="217"/>
      <c r="V58" s="217"/>
      <c r="AC58" s="47"/>
      <c r="AD58" s="46"/>
      <c r="AO58" s="50"/>
      <c r="AP58" s="50"/>
      <c r="AX58" s="48"/>
      <c r="AY58" s="48"/>
      <c r="AZ58" s="48"/>
      <c r="BA58" s="48"/>
      <c r="BB58" s="48"/>
      <c r="BC58" s="46"/>
    </row>
    <row r="59" spans="1:55" s="2" customFormat="1" ht="15" customHeight="1">
      <c r="A59" s="45"/>
      <c r="B59" s="22"/>
      <c r="C59" s="289"/>
      <c r="D59" s="289"/>
      <c r="E59" s="289"/>
      <c r="F59" s="289"/>
      <c r="G59" s="289"/>
      <c r="H59" s="218"/>
      <c r="I59" s="218"/>
      <c r="J59" s="218"/>
      <c r="K59" s="217">
        <v>1</v>
      </c>
      <c r="L59" s="217"/>
      <c r="M59" s="217"/>
      <c r="N59" s="233">
        <f>($N$63-$N$57)/(h-tft/2-tfb/2)*(Stiff1-tft/2)+$N$57</f>
        <v>4.4498652231058813</v>
      </c>
      <c r="O59" s="233"/>
      <c r="P59" s="233"/>
      <c r="Q59" s="218"/>
      <c r="R59" s="218"/>
      <c r="S59" s="218"/>
      <c r="T59" s="218"/>
      <c r="U59" s="218"/>
      <c r="V59" s="218"/>
      <c r="AC59" s="47"/>
      <c r="AD59" s="46"/>
      <c r="AO59" s="50"/>
      <c r="AP59" s="50"/>
      <c r="AZ59" s="48"/>
      <c r="BA59" s="48"/>
      <c r="BB59" s="48"/>
      <c r="BC59" s="46"/>
    </row>
    <row r="60" spans="1:55" s="2" customFormat="1" ht="15" customHeight="1">
      <c r="A60" s="45"/>
      <c r="B60" s="22"/>
      <c r="C60" s="289"/>
      <c r="D60" s="289"/>
      <c r="E60" s="289"/>
      <c r="F60" s="289"/>
      <c r="G60" s="289"/>
      <c r="H60" s="217"/>
      <c r="I60" s="217"/>
      <c r="J60" s="217"/>
      <c r="K60" s="217">
        <v>2</v>
      </c>
      <c r="L60" s="217"/>
      <c r="M60" s="217"/>
      <c r="N60" s="233">
        <f>($N$63-$N$57)/(h-tft/2-tfb/2)*(Stiff2-tft/2)+$N$57</f>
        <v>47.890351756555049</v>
      </c>
      <c r="O60" s="233"/>
      <c r="P60" s="233"/>
      <c r="Q60" s="217"/>
      <c r="R60" s="217"/>
      <c r="S60" s="217"/>
      <c r="T60" s="217"/>
      <c r="U60" s="217"/>
      <c r="V60" s="217"/>
      <c r="AC60" s="47"/>
      <c r="AD60" s="46"/>
      <c r="AO60" s="50"/>
      <c r="AP60" s="50"/>
      <c r="AX60" s="48"/>
      <c r="AY60" s="48"/>
      <c r="AZ60" s="48"/>
      <c r="BA60" s="48"/>
      <c r="BB60" s="48"/>
      <c r="BC60" s="46"/>
    </row>
    <row r="61" spans="1:55" s="2" customFormat="1" ht="15" customHeight="1">
      <c r="A61" s="45"/>
      <c r="B61" s="22"/>
      <c r="C61" s="289"/>
      <c r="D61" s="289"/>
      <c r="E61" s="289"/>
      <c r="F61" s="289"/>
      <c r="G61" s="289"/>
      <c r="H61" s="217"/>
      <c r="I61" s="217"/>
      <c r="J61" s="217"/>
      <c r="K61" s="217">
        <v>3</v>
      </c>
      <c r="L61" s="217"/>
      <c r="M61" s="217"/>
      <c r="N61" s="233">
        <f>($N$63-$N$57)/(h-tft/2-tfb/2)*(Stiff3-tft/2)+$N$57</f>
        <v>58.750473389917332</v>
      </c>
      <c r="O61" s="233"/>
      <c r="P61" s="233"/>
      <c r="Q61" s="217"/>
      <c r="R61" s="217"/>
      <c r="S61" s="217"/>
      <c r="T61" s="217"/>
      <c r="U61" s="217"/>
      <c r="V61" s="217"/>
      <c r="AC61" s="47"/>
      <c r="AD61" s="46"/>
      <c r="AF61" s="48"/>
      <c r="AG61" s="48"/>
      <c r="AH61" s="48"/>
      <c r="AW61" s="49"/>
      <c r="AZ61" s="48"/>
      <c r="BA61" s="48"/>
      <c r="BB61" s="48"/>
      <c r="BC61" s="46"/>
    </row>
    <row r="62" spans="1:55" s="2" customFormat="1" ht="15" customHeight="1">
      <c r="A62" s="45"/>
      <c r="B62" s="22"/>
      <c r="C62" s="289"/>
      <c r="D62" s="289"/>
      <c r="E62" s="289"/>
      <c r="F62" s="289"/>
      <c r="G62" s="289"/>
      <c r="H62" s="217"/>
      <c r="I62" s="217"/>
      <c r="J62" s="217"/>
      <c r="K62" s="217" t="s">
        <v>58</v>
      </c>
      <c r="L62" s="217"/>
      <c r="M62" s="217"/>
      <c r="N62" s="233">
        <f>($N$63-$N$57)/(h-tft/2-tfb/2)*(tft/2+Hw-rr)+$N$57</f>
        <v>21.50025618748468</v>
      </c>
      <c r="O62" s="233"/>
      <c r="P62" s="233"/>
      <c r="Q62" s="217"/>
      <c r="R62" s="217"/>
      <c r="S62" s="217"/>
      <c r="T62" s="217"/>
      <c r="U62" s="217"/>
      <c r="V62" s="217"/>
      <c r="AC62" s="47"/>
      <c r="AD62" s="46"/>
      <c r="AE62" s="48"/>
      <c r="AF62" s="48"/>
      <c r="AG62" s="48"/>
      <c r="AH62" s="48"/>
      <c r="AI62" s="48"/>
      <c r="AJ62" s="48"/>
      <c r="AK62" s="49"/>
      <c r="AL62" s="48"/>
      <c r="AM62" s="48"/>
      <c r="AN62" s="48"/>
      <c r="AO62" s="48"/>
      <c r="AP62" s="48"/>
      <c r="AQ62" s="48"/>
      <c r="AR62" s="48"/>
      <c r="AS62" s="48"/>
      <c r="AW62" s="49"/>
      <c r="AZ62" s="48"/>
      <c r="BA62" s="48"/>
      <c r="BB62" s="48"/>
      <c r="BC62" s="46"/>
    </row>
    <row r="63" spans="1:55" s="2" customFormat="1" ht="15" customHeight="1">
      <c r="A63" s="45"/>
      <c r="B63" s="22"/>
      <c r="C63" s="217" t="s">
        <v>59</v>
      </c>
      <c r="D63" s="217"/>
      <c r="E63" s="217"/>
      <c r="F63" s="217"/>
      <c r="G63" s="217"/>
      <c r="H63" s="232">
        <f>H46+Mx*1000000/Ixx*(Ybot-tfb/2)-My*1000000/Iyy*Bfb/2</f>
        <v>-299.63278700392772</v>
      </c>
      <c r="I63" s="232"/>
      <c r="J63" s="232"/>
      <c r="K63" s="219">
        <f>(T63-H63)/Bft*(-tw/2-rr)+N63</f>
        <v>-63.435562321317704</v>
      </c>
      <c r="L63" s="219"/>
      <c r="M63" s="219"/>
      <c r="N63" s="233">
        <f>(H63+T63)/2</f>
        <v>25.138396934661046</v>
      </c>
      <c r="O63" s="233"/>
      <c r="P63" s="233"/>
      <c r="Q63" s="232">
        <f>(T63-H63)/Bft*(tw/2+rr)+N63</f>
        <v>113.7123561906398</v>
      </c>
      <c r="R63" s="232"/>
      <c r="S63" s="232"/>
      <c r="T63" s="219">
        <f>H46+Mx*1000000/Ixx*(Ybot-tfb/2)+My*1000000/Iyy*Bfb/2</f>
        <v>349.90958087324981</v>
      </c>
      <c r="U63" s="219"/>
      <c r="V63" s="219"/>
      <c r="AC63" s="47"/>
      <c r="AD63" s="46"/>
      <c r="AE63" s="48"/>
      <c r="AF63" s="48"/>
      <c r="AG63" s="48"/>
      <c r="AH63" s="48"/>
      <c r="AI63" s="48"/>
      <c r="AJ63" s="48"/>
      <c r="AK63" s="49"/>
      <c r="AL63" s="48"/>
      <c r="AM63" s="48"/>
      <c r="AN63" s="48"/>
      <c r="AO63" s="48"/>
      <c r="AP63" s="48"/>
      <c r="AQ63" s="48"/>
      <c r="AR63" s="48"/>
      <c r="AS63" s="48"/>
      <c r="AW63" s="49"/>
      <c r="AZ63" s="48"/>
      <c r="BA63" s="48"/>
      <c r="BB63" s="48"/>
      <c r="BC63" s="46"/>
    </row>
    <row r="64" spans="1:55" s="2" customFormat="1" ht="15" customHeight="1">
      <c r="A64" s="45"/>
      <c r="B64" s="22"/>
      <c r="AC64" s="47"/>
      <c r="AD64" s="2" t="s">
        <v>102</v>
      </c>
      <c r="AJ64" s="2" t="s">
        <v>60</v>
      </c>
      <c r="AK64" s="2" t="s">
        <v>61</v>
      </c>
      <c r="AL64" s="2" t="s">
        <v>62</v>
      </c>
      <c r="AM64" s="2" t="s">
        <v>63</v>
      </c>
      <c r="AN64" s="2" t="s">
        <v>98</v>
      </c>
      <c r="AO64" s="2" t="s">
        <v>99</v>
      </c>
      <c r="AP64" s="2" t="s">
        <v>100</v>
      </c>
      <c r="AQ64" s="2" t="s">
        <v>64</v>
      </c>
      <c r="AR64" s="2" t="s">
        <v>65</v>
      </c>
      <c r="AS64" s="2" t="s">
        <v>101</v>
      </c>
      <c r="AT64" s="2" t="s">
        <v>66</v>
      </c>
      <c r="AU64" s="2" t="s">
        <v>67</v>
      </c>
      <c r="AW64" s="50"/>
      <c r="AZ64" s="48"/>
      <c r="BA64" s="48"/>
      <c r="BB64" s="48"/>
      <c r="BC64" s="46"/>
    </row>
    <row r="65" spans="1:55" s="2" customFormat="1" ht="15" customHeight="1">
      <c r="A65" s="45"/>
      <c r="B65" s="22"/>
      <c r="AC65" s="47"/>
      <c r="AD65" s="2">
        <f>(Bft-tw-2*rr)/2</f>
        <v>80</v>
      </c>
      <c r="AE65" s="2" t="s">
        <v>56</v>
      </c>
      <c r="AF65" s="2" t="s">
        <v>96</v>
      </c>
      <c r="AG65" s="2">
        <f>(Bft-tw-2*rr)/2</f>
        <v>80</v>
      </c>
      <c r="AH65" s="52">
        <f>H57</f>
        <v>-362.73009369376263</v>
      </c>
      <c r="AI65" s="50">
        <f>K57</f>
        <v>-126.53286901115261</v>
      </c>
      <c r="AJ65" s="2">
        <f>Eff_Width_F(AH65,AI65,AD65,tft,"L",AJ$64)</f>
        <v>0.34883477056629014</v>
      </c>
      <c r="AK65" s="2">
        <f>Eff_Width_F(AH65,AI65,AD65,tft,"L",AK$64)</f>
        <v>0.50526269698200155</v>
      </c>
      <c r="AL65" s="2">
        <f>Eff_Width_F(AH65,AI65,AD65,tft,"L",AL$64)</f>
        <v>1</v>
      </c>
      <c r="AM65" s="51">
        <f>Eff_Width_F(AH65,AI65,AD65,tft,"L",AM$64)</f>
        <v>80</v>
      </c>
      <c r="AN65" s="51">
        <f>Eff_Width_F(AH65,AI65,AD65,tft,"L",AN$64)</f>
        <v>0</v>
      </c>
      <c r="AO65" s="51">
        <f>Eff_Width_F(AH65,AI65,AD65,tft,"L",AO$64)</f>
        <v>0</v>
      </c>
      <c r="AP65" s="51">
        <f>Eff_Width_F(AH65,AI65,AD65,tft,"L",$AP$64)</f>
        <v>80</v>
      </c>
      <c r="AQ65" s="2">
        <f>Eff_Width_F(AH65,AI65,AD65,tft,"L",AQ$64)</f>
        <v>3</v>
      </c>
      <c r="AR65" s="51">
        <f>AN65</f>
        <v>0</v>
      </c>
      <c r="AS65" s="51">
        <f>AD65/tft</f>
        <v>4.2105263157894735</v>
      </c>
      <c r="AT65" s="51" t="str">
        <f>Compact_F(AD65,tft,AH65,AI65,AK65,1)</f>
        <v/>
      </c>
      <c r="AU65" s="2" t="str">
        <f>Compact_F(AD65,tft,AH65,AI65,AK65,2)</f>
        <v>Compact</v>
      </c>
      <c r="AW65" s="49"/>
      <c r="AZ65" s="48"/>
      <c r="BA65" s="48"/>
      <c r="BB65" s="48"/>
      <c r="BC65" s="46"/>
    </row>
    <row r="66" spans="1:55" s="2" customFormat="1" ht="15" customHeight="1">
      <c r="A66" s="45"/>
      <c r="B66" s="22"/>
      <c r="C66" s="185" t="s">
        <v>130</v>
      </c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5"/>
      <c r="Y66" s="185"/>
      <c r="Z66" s="185"/>
      <c r="AA66" s="185"/>
      <c r="AB66" s="185"/>
      <c r="AC66" s="47"/>
      <c r="AD66" s="2">
        <f>(Bft-tw-2*rr)/2</f>
        <v>80</v>
      </c>
      <c r="AE66" s="53" t="s">
        <v>56</v>
      </c>
      <c r="AF66" s="53" t="s">
        <v>97</v>
      </c>
      <c r="AG66" s="53">
        <f>(Bft-tw-2*rr)/2</f>
        <v>80</v>
      </c>
      <c r="AH66" s="57">
        <f>Q57</f>
        <v>50.615049500804886</v>
      </c>
      <c r="AI66" s="57">
        <f>T57</f>
        <v>286.8122741834149</v>
      </c>
      <c r="AJ66" s="2" t="str">
        <f>Eff_Width_F(AH66,AI66,AD66,tft,"R",AJ$64)</f>
        <v>NA</v>
      </c>
      <c r="AK66" s="2" t="str">
        <f>Eff_Width_F(AH66,AI66,AD66,tft,"R",AK$64)</f>
        <v>NA</v>
      </c>
      <c r="AL66" s="2">
        <f>Eff_Width_F(AH66,AI66,AD66,tft,"R",AL$64)</f>
        <v>1</v>
      </c>
      <c r="AM66" s="51">
        <f>Eff_Width_F(AH66,AI66,AD66,tft,"R",AM$64)</f>
        <v>80</v>
      </c>
      <c r="AN66" s="51">
        <f>Eff_Width_F(AH66,AI66,AD66,tft,"R",AN$64)</f>
        <v>80</v>
      </c>
      <c r="AO66" s="51">
        <f>Eff_Width_F(AH66,AI66,AD66,tft,"R",AO$64)</f>
        <v>0</v>
      </c>
      <c r="AP66" s="51">
        <f>Eff_Width_F(AH66,AI66,AD66,tft,"R",$AP$64)</f>
        <v>0</v>
      </c>
      <c r="AQ66" s="2">
        <f>Eff_Width_F(AH66,AI66,AD66,tft,"R",AQ$64)</f>
        <v>0</v>
      </c>
      <c r="AR66" s="51">
        <f>AO66</f>
        <v>0</v>
      </c>
      <c r="AS66" s="51">
        <f>AD66/tft</f>
        <v>4.2105263157894735</v>
      </c>
      <c r="AT66" s="51" t="str">
        <f>Compact_F(AD66,tft,AH66,AI66,AK66,1)</f>
        <v/>
      </c>
      <c r="AU66" s="2" t="str">
        <f>Compact_F(AD66,tft,AH66,AI66,AK66,2)</f>
        <v>Compact</v>
      </c>
      <c r="AX66" s="48"/>
      <c r="AY66" s="48"/>
      <c r="AZ66" s="48"/>
      <c r="BA66" s="48"/>
      <c r="BB66" s="48"/>
      <c r="BC66" s="46"/>
    </row>
    <row r="67" spans="1:55" s="2" customFormat="1" ht="15" customHeight="1">
      <c r="A67" s="45"/>
      <c r="B67" s="22"/>
      <c r="C67" s="223" t="s">
        <v>131</v>
      </c>
      <c r="D67" s="223"/>
      <c r="E67" s="223"/>
      <c r="F67" s="223" t="s">
        <v>132</v>
      </c>
      <c r="G67" s="223"/>
      <c r="H67" s="223" t="s">
        <v>61</v>
      </c>
      <c r="I67" s="223"/>
      <c r="J67" s="223" t="s">
        <v>62</v>
      </c>
      <c r="K67" s="223"/>
      <c r="L67" s="223" t="s">
        <v>63</v>
      </c>
      <c r="M67" s="223"/>
      <c r="N67" s="223" t="s">
        <v>107</v>
      </c>
      <c r="O67" s="223"/>
      <c r="P67" s="223" t="s">
        <v>108</v>
      </c>
      <c r="Q67" s="223"/>
      <c r="R67" s="223" t="s">
        <v>133</v>
      </c>
      <c r="S67" s="223"/>
      <c r="T67" s="223" t="s">
        <v>134</v>
      </c>
      <c r="U67" s="223"/>
      <c r="V67" s="223" t="s">
        <v>135</v>
      </c>
      <c r="W67" s="223"/>
      <c r="X67" s="223" t="s">
        <v>136</v>
      </c>
      <c r="Y67" s="223"/>
      <c r="Z67" s="223"/>
      <c r="AA67" s="223" t="s">
        <v>137</v>
      </c>
      <c r="AB67" s="223"/>
      <c r="AC67" s="47"/>
      <c r="AD67" s="2">
        <f>(Bfb-tw-2*rr)/2</f>
        <v>80</v>
      </c>
      <c r="AE67" s="2" t="s">
        <v>59</v>
      </c>
      <c r="AF67" s="2" t="s">
        <v>96</v>
      </c>
      <c r="AG67" s="2">
        <f>(Bfb-tw-2*rr)/2</f>
        <v>80</v>
      </c>
      <c r="AH67" s="50">
        <f>H63</f>
        <v>-299.63278700392772</v>
      </c>
      <c r="AI67" s="50">
        <f>K63</f>
        <v>-63.435562321317704</v>
      </c>
      <c r="AJ67" s="2">
        <f>Eff_Width_F(AH67,AI67,AD67,tfb,"L",AJ$64)</f>
        <v>0.21171101786162727</v>
      </c>
      <c r="AK67" s="2">
        <f>Eff_Width_F(AH67,AI67,AD67,tfb,"L",AK$64)</f>
        <v>0.52867819510493874</v>
      </c>
      <c r="AL67" s="2">
        <f>Eff_Width_F(AH67,AI67,AD67,tfb,"L",AL$64)</f>
        <v>1</v>
      </c>
      <c r="AM67" s="51">
        <f>Eff_Width_F(AH67,AI67,AD67,tfb,"L",AM$64)</f>
        <v>80</v>
      </c>
      <c r="AN67" s="51">
        <f>Eff_Width_F(AH67,AI67,AD67,tfb,"L",AN$64)</f>
        <v>0</v>
      </c>
      <c r="AO67" s="51">
        <f>Eff_Width_F(AH67,AI67,AD67,tfb,"L",AO$64)</f>
        <v>0</v>
      </c>
      <c r="AP67" s="51">
        <f>Eff_Width_F(AH67,AI67,AD67,tfb,"L",$AP$64)</f>
        <v>80</v>
      </c>
      <c r="AQ67" s="2">
        <f>Eff_Width_F(AH67,AI67,AD67,tfb,"L",AQ$64)</f>
        <v>3</v>
      </c>
      <c r="AR67" s="51">
        <f>AN67</f>
        <v>0</v>
      </c>
      <c r="AS67" s="51">
        <f>AD67/tfb</f>
        <v>4.2105263157894735</v>
      </c>
      <c r="AT67" s="51" t="str">
        <f>Compact_F(AD67,tfb,AH67,AI67,AK67,1)</f>
        <v/>
      </c>
      <c r="AU67" s="2" t="str">
        <f>Compact_F(AD67,tfb,AH67,AI67,AK67,2)</f>
        <v>Compact</v>
      </c>
      <c r="AW67" s="46"/>
      <c r="AX67" s="46"/>
      <c r="AY67" s="46"/>
      <c r="AZ67" s="46"/>
      <c r="BA67" s="46"/>
      <c r="BB67" s="46"/>
      <c r="BC67" s="46"/>
    </row>
    <row r="68" spans="1:55" s="2" customFormat="1" ht="15" customHeight="1">
      <c r="A68" s="45"/>
      <c r="B68" s="22"/>
      <c r="C68" s="224" t="s">
        <v>147</v>
      </c>
      <c r="D68" s="225"/>
      <c r="E68" s="226"/>
      <c r="F68" s="227">
        <f>AJ65</f>
        <v>0.34883477056629014</v>
      </c>
      <c r="G68" s="228"/>
      <c r="H68" s="228">
        <f>AK65</f>
        <v>0.50526269698200155</v>
      </c>
      <c r="I68" s="228"/>
      <c r="J68" s="228">
        <f>AL65</f>
        <v>1</v>
      </c>
      <c r="K68" s="228"/>
      <c r="L68" s="229">
        <f>AM65</f>
        <v>80</v>
      </c>
      <c r="M68" s="229"/>
      <c r="N68" s="229">
        <f>AN65</f>
        <v>0</v>
      </c>
      <c r="O68" s="229"/>
      <c r="P68" s="229">
        <f>AO65</f>
        <v>0</v>
      </c>
      <c r="Q68" s="229"/>
      <c r="R68" s="229">
        <f>AR65</f>
        <v>0</v>
      </c>
      <c r="S68" s="229"/>
      <c r="T68" s="229">
        <f>AS65</f>
        <v>4.2105263157894735</v>
      </c>
      <c r="U68" s="229"/>
      <c r="V68" s="229" t="str">
        <f>IF(FlgCom="NO",AT65,"")</f>
        <v/>
      </c>
      <c r="W68" s="229"/>
      <c r="X68" s="220" t="str">
        <f>IF(FlgCom="NO",AU65,"Compact")</f>
        <v>Compact</v>
      </c>
      <c r="Y68" s="220"/>
      <c r="Z68" s="220"/>
      <c r="AA68" s="308" t="str">
        <f>IF(AE78&gt;100,"Slender",IF(AE78&gt;10,"Non_Compact","Compact"))</f>
        <v>Compact</v>
      </c>
      <c r="AB68" s="309"/>
      <c r="AC68" s="47"/>
      <c r="AD68" s="2">
        <f>(Bfb-tw-2*rr)/2</f>
        <v>80</v>
      </c>
      <c r="AE68" s="53" t="s">
        <v>59</v>
      </c>
      <c r="AF68" s="53" t="s">
        <v>97</v>
      </c>
      <c r="AG68" s="53">
        <f>(Bfb-tw-2*rr)/2</f>
        <v>80</v>
      </c>
      <c r="AH68" s="53">
        <f>Q63</f>
        <v>113.7123561906398</v>
      </c>
      <c r="AI68" s="53">
        <f>T63</f>
        <v>349.90958087324981</v>
      </c>
      <c r="AJ68" s="2" t="str">
        <f>Eff_Width_F(AH68,AI68,AD68,tfb,"R",AJ$64)</f>
        <v>NA</v>
      </c>
      <c r="AK68" s="2" t="str">
        <f>Eff_Width_F(AH68,AI68,AD68,tfb,"R",AK$64)</f>
        <v>NA</v>
      </c>
      <c r="AL68" s="2">
        <f>Eff_Width_F(AH68,AI68,AD68,tfb,"R",AL$64)</f>
        <v>1</v>
      </c>
      <c r="AM68" s="51">
        <f>Eff_Width_F(AH68,AI68,AD68,tfb,"R",AM$64)</f>
        <v>80</v>
      </c>
      <c r="AN68" s="51">
        <f>Eff_Width_F(AH68,AI68,AD68,tfb,"R",AN$64)</f>
        <v>80</v>
      </c>
      <c r="AO68" s="51">
        <f>Eff_Width_F(AH68,AI68,AD68,tfb,"R",AO$64)</f>
        <v>0</v>
      </c>
      <c r="AP68" s="51">
        <f>Eff_Width_F(AH68,AI68,AD68,tfb,"R",$AP$64)</f>
        <v>0</v>
      </c>
      <c r="AQ68" s="2">
        <f>Eff_Width_F(AH68,AI68,AD68,tfb,"R",AQ$64)</f>
        <v>0</v>
      </c>
      <c r="AR68" s="51">
        <f>AO68</f>
        <v>0</v>
      </c>
      <c r="AS68" s="51">
        <f>AD68/tfb</f>
        <v>4.2105263157894735</v>
      </c>
      <c r="AT68" s="51" t="str">
        <f>Compact_F(AD68,tfb,AH68,AI68,AK68,1)</f>
        <v/>
      </c>
      <c r="AU68" s="2" t="str">
        <f>Compact_F(AD68,tfb,AH68,AI68,AK68,2)</f>
        <v>Compact</v>
      </c>
      <c r="AV68" s="46"/>
      <c r="AW68" s="46"/>
      <c r="AX68" s="46"/>
      <c r="AY68" s="46"/>
      <c r="AZ68" s="46"/>
      <c r="BA68" s="46"/>
      <c r="BB68" s="46"/>
      <c r="BC68" s="46"/>
    </row>
    <row r="69" spans="1:55" s="2" customFormat="1" ht="15" customHeight="1">
      <c r="A69" s="45"/>
      <c r="B69" s="22"/>
      <c r="C69" s="224" t="s">
        <v>148</v>
      </c>
      <c r="D69" s="225"/>
      <c r="E69" s="226"/>
      <c r="F69" s="227" t="str">
        <f t="shared" ref="F69" si="0">AJ66</f>
        <v>NA</v>
      </c>
      <c r="G69" s="228"/>
      <c r="H69" s="228" t="str">
        <f t="shared" ref="H69" si="1">AK66</f>
        <v>NA</v>
      </c>
      <c r="I69" s="228"/>
      <c r="J69" s="228">
        <f t="shared" ref="J69" si="2">AL66</f>
        <v>1</v>
      </c>
      <c r="K69" s="228"/>
      <c r="L69" s="229">
        <f t="shared" ref="L69" si="3">AM66</f>
        <v>80</v>
      </c>
      <c r="M69" s="229"/>
      <c r="N69" s="229">
        <f t="shared" ref="N69" si="4">AN66</f>
        <v>80</v>
      </c>
      <c r="O69" s="229"/>
      <c r="P69" s="229">
        <f t="shared" ref="P69" si="5">AO66</f>
        <v>0</v>
      </c>
      <c r="Q69" s="229"/>
      <c r="R69" s="229">
        <f t="shared" ref="R69" si="6">AR66</f>
        <v>0</v>
      </c>
      <c r="S69" s="229"/>
      <c r="T69" s="229">
        <f t="shared" ref="T69" si="7">AS66</f>
        <v>4.2105263157894735</v>
      </c>
      <c r="U69" s="229"/>
      <c r="V69" s="229" t="str">
        <f>IF(FlgCom="NO",AT66,"")</f>
        <v/>
      </c>
      <c r="W69" s="229"/>
      <c r="X69" s="220" t="str">
        <f>IF(FlgCom="NO",AU66,"Compact")</f>
        <v>Compact</v>
      </c>
      <c r="Y69" s="220"/>
      <c r="Z69" s="220"/>
      <c r="AA69" s="310"/>
      <c r="AB69" s="311"/>
      <c r="AC69" s="47"/>
      <c r="AV69" s="46"/>
      <c r="AW69" s="46"/>
      <c r="AX69" s="46"/>
      <c r="AY69" s="46"/>
      <c r="AZ69" s="46"/>
    </row>
    <row r="70" spans="1:55" s="2" customFormat="1" ht="15" customHeight="1">
      <c r="A70" s="45"/>
      <c r="B70" s="22"/>
      <c r="C70" s="300" t="s">
        <v>95</v>
      </c>
      <c r="D70" s="301"/>
      <c r="E70" s="301"/>
      <c r="F70" s="306">
        <f>AJ73</f>
        <v>-0.62645030425963488</v>
      </c>
      <c r="G70" s="307"/>
      <c r="H70" s="291">
        <f>AK73</f>
        <v>15.478162059348406</v>
      </c>
      <c r="I70" s="291"/>
      <c r="J70" s="291">
        <f>AL73</f>
        <v>1</v>
      </c>
      <c r="K70" s="291"/>
      <c r="L70" s="292">
        <f>AM73</f>
        <v>514</v>
      </c>
      <c r="M70" s="292"/>
      <c r="N70" s="292">
        <f>AN73</f>
        <v>257</v>
      </c>
      <c r="O70" s="292"/>
      <c r="P70" s="292">
        <f>AO73</f>
        <v>257</v>
      </c>
      <c r="Q70" s="292"/>
      <c r="R70" s="292">
        <f>AQ73</f>
        <v>0</v>
      </c>
      <c r="S70" s="292"/>
      <c r="T70" s="292">
        <f>AR73</f>
        <v>42.833333333333336</v>
      </c>
      <c r="U70" s="292"/>
      <c r="V70" s="292" t="str">
        <f>IF(WebCom="NO",AS73,"")</f>
        <v/>
      </c>
      <c r="W70" s="292"/>
      <c r="X70" s="221" t="str">
        <f>IF(WebCom="NO",AT73,"Compact")</f>
        <v>Compact</v>
      </c>
      <c r="Y70" s="221"/>
      <c r="Z70" s="221"/>
      <c r="AA70" s="310"/>
      <c r="AB70" s="311"/>
      <c r="AC70" s="47"/>
      <c r="AE70" s="91">
        <f>IF(X68="Compact",1,IF(X68="Non_Compact",10,IF(X68="Slender",100,0)))</f>
        <v>1</v>
      </c>
      <c r="AV70" s="46"/>
      <c r="AW70" s="46"/>
      <c r="AX70" s="46"/>
      <c r="AY70" s="46"/>
      <c r="AZ70" s="46"/>
    </row>
    <row r="71" spans="1:55" s="2" customFormat="1" ht="15" customHeight="1">
      <c r="A71" s="45"/>
      <c r="B71" s="22"/>
      <c r="C71" s="302"/>
      <c r="D71" s="223"/>
      <c r="E71" s="303"/>
      <c r="F71" s="290" t="str">
        <f>AJ74</f>
        <v>NA</v>
      </c>
      <c r="G71" s="230"/>
      <c r="H71" s="230" t="str">
        <f>AK74</f>
        <v>NA</v>
      </c>
      <c r="I71" s="230"/>
      <c r="J71" s="230">
        <f>AL74</f>
        <v>1</v>
      </c>
      <c r="K71" s="230"/>
      <c r="L71" s="293">
        <f>AM74</f>
        <v>0</v>
      </c>
      <c r="M71" s="293"/>
      <c r="N71" s="293">
        <f>AN74</f>
        <v>0</v>
      </c>
      <c r="O71" s="293"/>
      <c r="P71" s="293">
        <f>AO74</f>
        <v>0</v>
      </c>
      <c r="Q71" s="293"/>
      <c r="R71" s="293">
        <f>AQ74</f>
        <v>0</v>
      </c>
      <c r="S71" s="293"/>
      <c r="T71" s="293">
        <f>AR74</f>
        <v>0</v>
      </c>
      <c r="U71" s="293"/>
      <c r="V71" s="293" t="str">
        <f>IF(WebCom="NO",AS74,"")</f>
        <v/>
      </c>
      <c r="W71" s="293"/>
      <c r="X71" s="222" t="str">
        <f>IF(WebCom="NO",AT74,"Compact")</f>
        <v>Compact</v>
      </c>
      <c r="Y71" s="222"/>
      <c r="Z71" s="222"/>
      <c r="AA71" s="310"/>
      <c r="AB71" s="311"/>
      <c r="AC71" s="47"/>
      <c r="AE71" s="91">
        <f t="shared" ref="AE71:AE77" si="8">IF(X69="Compact",1,IF(X69="Non_Compact",10,IF(X69="Slender",100,0)))</f>
        <v>1</v>
      </c>
      <c r="AV71" s="46"/>
      <c r="AW71" s="46"/>
      <c r="AX71" s="46"/>
      <c r="AY71" s="46"/>
      <c r="AZ71" s="46"/>
    </row>
    <row r="72" spans="1:55" s="2" customFormat="1" ht="15" customHeight="1">
      <c r="A72" s="45"/>
      <c r="B72" s="22"/>
      <c r="C72" s="302"/>
      <c r="D72" s="223"/>
      <c r="E72" s="303"/>
      <c r="F72" s="290" t="str">
        <f>AJ75</f>
        <v>NA</v>
      </c>
      <c r="G72" s="230"/>
      <c r="H72" s="230" t="str">
        <f>AK75</f>
        <v>NA</v>
      </c>
      <c r="I72" s="230"/>
      <c r="J72" s="230">
        <f>AL75</f>
        <v>1</v>
      </c>
      <c r="K72" s="230"/>
      <c r="L72" s="293">
        <f>AM75</f>
        <v>0</v>
      </c>
      <c r="M72" s="293"/>
      <c r="N72" s="293">
        <f>AN75</f>
        <v>0</v>
      </c>
      <c r="O72" s="293"/>
      <c r="P72" s="293">
        <f>AO75</f>
        <v>0</v>
      </c>
      <c r="Q72" s="293"/>
      <c r="R72" s="293">
        <f>AQ75</f>
        <v>0</v>
      </c>
      <c r="S72" s="293"/>
      <c r="T72" s="293">
        <f>AR75</f>
        <v>0</v>
      </c>
      <c r="U72" s="293"/>
      <c r="V72" s="293" t="str">
        <f>IF(WebCom="NO",AS75,"")</f>
        <v/>
      </c>
      <c r="W72" s="293"/>
      <c r="X72" s="222" t="str">
        <f>IF(WebCom="NO",AT75,"Compact")</f>
        <v>Compact</v>
      </c>
      <c r="Y72" s="222"/>
      <c r="Z72" s="222"/>
      <c r="AA72" s="310"/>
      <c r="AB72" s="311"/>
      <c r="AC72" s="47"/>
      <c r="AD72" s="46"/>
      <c r="AE72" s="91">
        <f>IF(X70="Compact",1,IF(X70="Non_Compact",10,IF(X70="Slender",100,0)))</f>
        <v>1</v>
      </c>
      <c r="AJ72" s="2" t="s">
        <v>60</v>
      </c>
      <c r="AK72" s="2" t="s">
        <v>61</v>
      </c>
      <c r="AL72" s="2" t="s">
        <v>62</v>
      </c>
      <c r="AM72" s="2" t="s">
        <v>63</v>
      </c>
      <c r="AN72" s="46" t="s">
        <v>107</v>
      </c>
      <c r="AO72" s="46" t="s">
        <v>108</v>
      </c>
      <c r="AP72" s="2" t="s">
        <v>64</v>
      </c>
      <c r="AQ72" s="2" t="s">
        <v>65</v>
      </c>
      <c r="AR72" s="2" t="s">
        <v>101</v>
      </c>
      <c r="AS72" s="2" t="s">
        <v>66</v>
      </c>
      <c r="AT72" s="2" t="s">
        <v>67</v>
      </c>
      <c r="AU72" s="46"/>
      <c r="AV72" s="46"/>
      <c r="AW72" s="46"/>
      <c r="AX72" s="46"/>
      <c r="AY72" s="46"/>
      <c r="AZ72" s="46"/>
    </row>
    <row r="73" spans="1:55" s="2" customFormat="1" ht="15" customHeight="1">
      <c r="A73" s="45"/>
      <c r="B73" s="22"/>
      <c r="C73" s="304"/>
      <c r="D73" s="305"/>
      <c r="E73" s="305"/>
      <c r="F73" s="296" t="str">
        <f>AJ76</f>
        <v>NA</v>
      </c>
      <c r="G73" s="294"/>
      <c r="H73" s="294" t="str">
        <f>AK76</f>
        <v>NA</v>
      </c>
      <c r="I73" s="294"/>
      <c r="J73" s="294">
        <f>AL76</f>
        <v>1</v>
      </c>
      <c r="K73" s="294"/>
      <c r="L73" s="295">
        <f>AM76</f>
        <v>0</v>
      </c>
      <c r="M73" s="295"/>
      <c r="N73" s="295">
        <f>AN76</f>
        <v>0</v>
      </c>
      <c r="O73" s="295"/>
      <c r="P73" s="295">
        <f>AO76</f>
        <v>0</v>
      </c>
      <c r="Q73" s="295"/>
      <c r="R73" s="295">
        <f>AQ76</f>
        <v>0</v>
      </c>
      <c r="S73" s="295"/>
      <c r="T73" s="295">
        <f>AR76</f>
        <v>0</v>
      </c>
      <c r="U73" s="295"/>
      <c r="V73" s="295" t="str">
        <f>IF(WebCom="NO",AS76,"")</f>
        <v/>
      </c>
      <c r="W73" s="295"/>
      <c r="X73" s="298" t="str">
        <f>IF(WebCom="NO",AT76,"Compact")</f>
        <v>Compact</v>
      </c>
      <c r="Y73" s="298"/>
      <c r="Z73" s="298"/>
      <c r="AA73" s="310"/>
      <c r="AB73" s="311"/>
      <c r="AC73" s="47"/>
      <c r="AE73" s="91">
        <f t="shared" si="8"/>
        <v>1</v>
      </c>
      <c r="AF73" s="50">
        <f>IF(Stiff_N=0,Hw-2*rr,Stiff1-tft-rr)</f>
        <v>514</v>
      </c>
      <c r="AG73" s="2" t="s">
        <v>95</v>
      </c>
      <c r="AH73" s="50">
        <f>N58</f>
        <v>-34.320769007997498</v>
      </c>
      <c r="AI73" s="2">
        <f>IF(Stiff_N=0,N62,N59)</f>
        <v>21.50025618748468</v>
      </c>
      <c r="AJ73" s="2">
        <f>Eff_Width(AH73,AI73,AF73,tw,AJ$64)</f>
        <v>-0.62645030425963488</v>
      </c>
      <c r="AK73" s="2">
        <f>Eff_Width(AH73,AI73,AF73,tw,AK$64)</f>
        <v>15.478162059348406</v>
      </c>
      <c r="AL73" s="2">
        <f>Eff_Width(AH73,AI73,AF73,tw,AL$64)</f>
        <v>1</v>
      </c>
      <c r="AM73" s="2">
        <f>Eff_Width(AH73,AI73,AF73,tw,AM$64)</f>
        <v>514</v>
      </c>
      <c r="AN73" s="2">
        <f>Eff_Width(AH73,AI73,AF73,tw,$AN$72)</f>
        <v>257</v>
      </c>
      <c r="AO73" s="2">
        <f>Eff_Width(AH73,AI73,AF73,tw,$AO$72)</f>
        <v>257</v>
      </c>
      <c r="AP73" s="2">
        <f>Eff_Width(AH73,AI73,AF73,tw,AQ$64)</f>
        <v>0</v>
      </c>
      <c r="AQ73" s="51">
        <f>AF73-AM73</f>
        <v>0</v>
      </c>
      <c r="AR73" s="2">
        <f>AF73/tw</f>
        <v>42.833333333333336</v>
      </c>
      <c r="AS73" s="2" t="str">
        <f>Compact(AF73,tw,AR73,AH73,AI73,1)</f>
        <v/>
      </c>
      <c r="AT73" s="2" t="str">
        <f>Compact(AF73,tw,AR73,AH73,AI73,2)</f>
        <v>Compact</v>
      </c>
      <c r="AV73" s="46"/>
      <c r="AW73" s="46"/>
      <c r="AX73" s="46"/>
      <c r="AY73" s="46"/>
      <c r="AZ73" s="46"/>
    </row>
    <row r="74" spans="1:55" s="2" customFormat="1" ht="15" customHeight="1">
      <c r="A74" s="45"/>
      <c r="B74" s="22"/>
      <c r="C74" s="224" t="s">
        <v>149</v>
      </c>
      <c r="D74" s="225"/>
      <c r="E74" s="226"/>
      <c r="F74" s="227">
        <f>AJ67</f>
        <v>0.21171101786162727</v>
      </c>
      <c r="G74" s="228"/>
      <c r="H74" s="228">
        <f>AK67</f>
        <v>0.52867819510493874</v>
      </c>
      <c r="I74" s="228"/>
      <c r="J74" s="228">
        <f>AL67</f>
        <v>1</v>
      </c>
      <c r="K74" s="228"/>
      <c r="L74" s="229">
        <f>AM67</f>
        <v>80</v>
      </c>
      <c r="M74" s="229"/>
      <c r="N74" s="229">
        <f>AN67</f>
        <v>0</v>
      </c>
      <c r="O74" s="229"/>
      <c r="P74" s="229">
        <f>AO67</f>
        <v>0</v>
      </c>
      <c r="Q74" s="229"/>
      <c r="R74" s="229">
        <f>AR67</f>
        <v>0</v>
      </c>
      <c r="S74" s="229"/>
      <c r="T74" s="229">
        <f>AS67</f>
        <v>4.2105263157894735</v>
      </c>
      <c r="U74" s="229"/>
      <c r="V74" s="229" t="str">
        <f>IF(FlgCom="NO",AT67,"")</f>
        <v/>
      </c>
      <c r="W74" s="229"/>
      <c r="X74" s="220" t="str">
        <f>IF(FlgCom="NO",AU67,"Compact")</f>
        <v>Compact</v>
      </c>
      <c r="Y74" s="220"/>
      <c r="Z74" s="220"/>
      <c r="AA74" s="310"/>
      <c r="AB74" s="311"/>
      <c r="AC74" s="47"/>
      <c r="AE74" s="91">
        <f t="shared" si="8"/>
        <v>1</v>
      </c>
      <c r="AF74" s="2">
        <f>IF(Stiff_N=1,Hw-(Stiff1-tft)-rr,IF(Stiff_N&gt;1,Stiff2-Stiff1,0))</f>
        <v>0</v>
      </c>
      <c r="AG74" s="52"/>
      <c r="AH74" s="2">
        <f>IF(Stiff_N&gt;=1,N59,0)</f>
        <v>0</v>
      </c>
      <c r="AI74" s="2">
        <f>IF(Stiff_N&lt;&gt;0,IF(Stiff_N=1,N62,N60),0)</f>
        <v>0</v>
      </c>
      <c r="AJ74" s="2" t="str">
        <f>Eff_Width(AH74,AI74,AF74,tw,AJ$64)</f>
        <v>NA</v>
      </c>
      <c r="AK74" s="2" t="str">
        <f>Eff_Width(AH74,AI74,AF74,tw,AK$64)</f>
        <v>NA</v>
      </c>
      <c r="AL74" s="2">
        <f>Eff_Width(AH74,AI74,AF74,tw,AL$64)</f>
        <v>1</v>
      </c>
      <c r="AM74" s="2">
        <f>Eff_Width(AH74,AI74,AF74,tw,AM$64)</f>
        <v>0</v>
      </c>
      <c r="AN74" s="2">
        <f>Eff_Width(AH74,AI74,AF74,tw,$AN$72)</f>
        <v>0</v>
      </c>
      <c r="AO74" s="2">
        <f>Eff_Width(AH74,AI74,AF74,tw,$AO$72)</f>
        <v>0</v>
      </c>
      <c r="AP74" s="2">
        <f>Eff_Width(AH74,AI74,AF74,tw,AQ$64)</f>
        <v>0</v>
      </c>
      <c r="AQ74" s="51">
        <f>AF74-AM74</f>
        <v>0</v>
      </c>
      <c r="AR74" s="2">
        <f>AF74/tw</f>
        <v>0</v>
      </c>
      <c r="AS74" s="2" t="str">
        <f>Compact(AF74,tw,AR74,AH74,AI74,1)</f>
        <v/>
      </c>
      <c r="AT74" s="2" t="str">
        <f>Compact(AF74,tw,AR74,AH74,AI74,2)</f>
        <v>Compact</v>
      </c>
      <c r="AV74" s="46"/>
      <c r="AW74" s="46"/>
      <c r="AX74" s="46"/>
      <c r="AY74" s="46"/>
      <c r="AZ74" s="46"/>
    </row>
    <row r="75" spans="1:55" s="2" customFormat="1" ht="15" customHeight="1">
      <c r="A75" s="45"/>
      <c r="B75" s="22"/>
      <c r="C75" s="224" t="s">
        <v>150</v>
      </c>
      <c r="D75" s="225"/>
      <c r="E75" s="226"/>
      <c r="F75" s="227" t="str">
        <f>AJ68</f>
        <v>NA</v>
      </c>
      <c r="G75" s="228"/>
      <c r="H75" s="228" t="str">
        <f>AK68</f>
        <v>NA</v>
      </c>
      <c r="I75" s="228"/>
      <c r="J75" s="228">
        <f>AL68</f>
        <v>1</v>
      </c>
      <c r="K75" s="228"/>
      <c r="L75" s="229">
        <f>AM68</f>
        <v>80</v>
      </c>
      <c r="M75" s="229"/>
      <c r="N75" s="229">
        <f>AN68</f>
        <v>80</v>
      </c>
      <c r="O75" s="229"/>
      <c r="P75" s="229">
        <f>AO68</f>
        <v>0</v>
      </c>
      <c r="Q75" s="229"/>
      <c r="R75" s="229">
        <f>AR68</f>
        <v>0</v>
      </c>
      <c r="S75" s="229"/>
      <c r="T75" s="229">
        <f>AS68</f>
        <v>4.2105263157894735</v>
      </c>
      <c r="U75" s="229"/>
      <c r="V75" s="229" t="str">
        <f>IF(FlgCom="NO",AT68,"")</f>
        <v/>
      </c>
      <c r="W75" s="229"/>
      <c r="X75" s="220" t="str">
        <f>IF(FlgCom="NO",AU68,"Compact")</f>
        <v>Compact</v>
      </c>
      <c r="Y75" s="220"/>
      <c r="Z75" s="220"/>
      <c r="AA75" s="312"/>
      <c r="AB75" s="313"/>
      <c r="AC75" s="47"/>
      <c r="AE75" s="91">
        <f t="shared" si="8"/>
        <v>1</v>
      </c>
      <c r="AF75" s="2">
        <f>IF(Stiff_N=2,Hw-(Stiff2-tft)-rr,IF(Stiff_N&gt;2,Stiff3-Stiff2,0))</f>
        <v>0</v>
      </c>
      <c r="AH75" s="2">
        <f>IF(Stiff_N&gt;=2,N60,0)</f>
        <v>0</v>
      </c>
      <c r="AI75" s="2">
        <f>IF(Stiff_N&lt;&gt;0,IF(Stiff_N=2,N62,N61),0)</f>
        <v>0</v>
      </c>
      <c r="AJ75" s="2" t="str">
        <f>Eff_Width(AH75,AI75,AF75,tw,AJ$64)</f>
        <v>NA</v>
      </c>
      <c r="AK75" s="2" t="str">
        <f>Eff_Width(AH75,AI75,AF75,tw,AK$64)</f>
        <v>NA</v>
      </c>
      <c r="AL75" s="2">
        <f>Eff_Width(AH75,AI75,AF75,tw,AL$64)</f>
        <v>1</v>
      </c>
      <c r="AM75" s="2">
        <f>Eff_Width(AH75,AI75,AF75,tw,AM$64)</f>
        <v>0</v>
      </c>
      <c r="AN75" s="2">
        <f>Eff_Width(AH75,AI75,AF75,tw,$AN$72)</f>
        <v>0</v>
      </c>
      <c r="AO75" s="2">
        <f>Eff_Width(AH75,AI75,AF75,tw,$AO$72)</f>
        <v>0</v>
      </c>
      <c r="AP75" s="2">
        <f>Eff_Width(AH75,AI75,AF75,tw,AQ$64)</f>
        <v>0</v>
      </c>
      <c r="AQ75" s="51">
        <f>AF75-AM75</f>
        <v>0</v>
      </c>
      <c r="AR75" s="2">
        <f>AF75/tw</f>
        <v>0</v>
      </c>
      <c r="AS75" s="2" t="str">
        <f>Compact(AF75,tw,AR75,AH75,AI75,1)</f>
        <v/>
      </c>
      <c r="AT75" s="2" t="str">
        <f>Compact(AF75,tw,AR75,AH75,AI75,2)</f>
        <v>Compact</v>
      </c>
      <c r="AV75" s="46"/>
      <c r="AW75" s="46"/>
      <c r="AX75" s="46"/>
      <c r="AY75" s="46"/>
      <c r="AZ75" s="46"/>
    </row>
    <row r="76" spans="1:55" s="2" customFormat="1" ht="15" customHeight="1">
      <c r="A76" s="45"/>
      <c r="B76" s="22"/>
      <c r="AA76" s="108"/>
      <c r="AB76" s="108"/>
      <c r="AC76" s="47"/>
      <c r="AE76" s="91">
        <f t="shared" si="8"/>
        <v>1</v>
      </c>
      <c r="AF76" s="2">
        <f>IF(Stiff_N=3,Hw-(Stiff3-tft)-rr,0)</f>
        <v>0</v>
      </c>
      <c r="AH76" s="2">
        <f>IF(Stiff_N&gt;2,N61,0)</f>
        <v>0</v>
      </c>
      <c r="AI76" s="50">
        <f>IF(Stiff_N&lt;&gt;0,IF(Stiff_N=3,N62,0),0)</f>
        <v>0</v>
      </c>
      <c r="AJ76" s="2" t="str">
        <f>Eff_Width(AH76,AI76,AF76,tw,AJ$64)</f>
        <v>NA</v>
      </c>
      <c r="AK76" s="2" t="str">
        <f>Eff_Width(AH76,AI76,AF76,tw,AK$64)</f>
        <v>NA</v>
      </c>
      <c r="AL76" s="2">
        <f>Eff_Width(AH76,AI76,AF76,tw,AL$64)</f>
        <v>1</v>
      </c>
      <c r="AM76" s="2">
        <f>Eff_Width(AH76,AI76,AF76,tw,AM$64)</f>
        <v>0</v>
      </c>
      <c r="AN76" s="2">
        <f>Eff_Width(AH76,AI76,AF76,tw,$AN$72)</f>
        <v>0</v>
      </c>
      <c r="AO76" s="2">
        <f>Eff_Width(AH76,AI76,AF76,tw,$AO$72)</f>
        <v>0</v>
      </c>
      <c r="AP76" s="2">
        <f>Eff_Width(AH76,AI76,AF76,tw,AQ$64)</f>
        <v>0</v>
      </c>
      <c r="AQ76" s="51">
        <f>AF76-AM76</f>
        <v>0</v>
      </c>
      <c r="AR76" s="2">
        <f>AF76/tw</f>
        <v>0</v>
      </c>
      <c r="AS76" s="2" t="str">
        <f>Compact(AF76,tw,AR76,AH76,AI76,1)</f>
        <v/>
      </c>
      <c r="AT76" s="2" t="str">
        <f>Compact(AF76,tw,AR76,AH76,AI76,2)</f>
        <v>Compact</v>
      </c>
      <c r="AV76" s="46"/>
      <c r="AW76" s="46"/>
      <c r="AX76" s="46"/>
      <c r="AY76" s="46"/>
      <c r="AZ76" s="46"/>
    </row>
    <row r="77" spans="1:55" s="2" customFormat="1" ht="15" customHeight="1">
      <c r="A77" s="45"/>
      <c r="B77" s="22"/>
      <c r="AA77" s="108"/>
      <c r="AB77" s="108"/>
      <c r="AC77" s="47"/>
      <c r="AE77" s="91">
        <f t="shared" si="8"/>
        <v>1</v>
      </c>
      <c r="AH77" s="50"/>
      <c r="AQ77" s="51"/>
      <c r="AV77" s="46"/>
      <c r="AW77" s="46"/>
      <c r="AX77" s="46"/>
      <c r="AY77" s="46"/>
      <c r="AZ77" s="46"/>
    </row>
    <row r="78" spans="1:55" s="2" customFormat="1" ht="15" customHeight="1">
      <c r="A78" s="45"/>
      <c r="B78" s="22"/>
      <c r="C78" s="185" t="s">
        <v>151</v>
      </c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5"/>
      <c r="Y78" s="185"/>
      <c r="Z78" s="185"/>
      <c r="AA78" s="185"/>
      <c r="AB78" s="185"/>
      <c r="AC78" s="47"/>
      <c r="AE78" s="97">
        <f>SUM(AE70:AE77)</f>
        <v>8</v>
      </c>
      <c r="AQ78" s="51"/>
      <c r="AV78" s="46"/>
      <c r="AW78" s="46"/>
      <c r="AX78" s="46"/>
      <c r="AY78" s="46"/>
      <c r="AZ78" s="46"/>
    </row>
    <row r="79" spans="1:55" s="2" customFormat="1" ht="15" customHeight="1">
      <c r="A79" s="45"/>
      <c r="B79" s="2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98"/>
      <c r="AC79" s="47"/>
      <c r="AE79" s="91"/>
      <c r="AQ79" s="51"/>
      <c r="AV79" s="46"/>
      <c r="AW79" s="46"/>
      <c r="AX79" s="46"/>
      <c r="AY79" s="46"/>
      <c r="AZ79" s="46"/>
    </row>
    <row r="80" spans="1:55" s="2" customFormat="1" ht="15" customHeight="1">
      <c r="A80" s="45"/>
      <c r="B80" s="22"/>
      <c r="C80" s="36" t="s">
        <v>31</v>
      </c>
      <c r="D80" s="85"/>
      <c r="E80" s="85"/>
      <c r="F80" s="85"/>
      <c r="G80" s="37" t="s">
        <v>13</v>
      </c>
      <c r="H80" s="297">
        <f>IF(Classification&lt;&gt;"Slender",Area,Gen_Prop($AF$83:$AJ$110,"Area"))</f>
        <v>15600</v>
      </c>
      <c r="I80" s="297"/>
      <c r="J80" s="297"/>
      <c r="K80" s="38" t="s">
        <v>32</v>
      </c>
      <c r="L80" s="98"/>
      <c r="M80" s="98"/>
      <c r="N80" s="98"/>
      <c r="O80" s="98"/>
      <c r="P80" s="98"/>
      <c r="Q80" s="36"/>
      <c r="R80" s="98"/>
      <c r="S80" s="36"/>
      <c r="T80" s="85"/>
      <c r="U80" s="37"/>
      <c r="V80" s="299"/>
      <c r="W80" s="299"/>
      <c r="X80" s="299"/>
      <c r="Y80" s="38"/>
      <c r="Z80" s="85"/>
      <c r="AA80" s="85"/>
      <c r="AB80" s="85"/>
      <c r="AC80" s="47"/>
      <c r="AI80" s="50"/>
      <c r="AQ80" s="51"/>
      <c r="AV80" s="46"/>
      <c r="AW80" s="46"/>
      <c r="AX80" s="46"/>
      <c r="AY80" s="46"/>
      <c r="AZ80" s="46"/>
    </row>
    <row r="81" spans="1:55" s="2" customFormat="1" ht="15" customHeight="1">
      <c r="A81" s="45"/>
      <c r="B81" s="22"/>
      <c r="C81" s="36" t="s">
        <v>35</v>
      </c>
      <c r="D81" s="85"/>
      <c r="E81" s="85"/>
      <c r="F81" s="85"/>
      <c r="G81" s="37" t="s">
        <v>13</v>
      </c>
      <c r="H81" s="297">
        <f>IF(Classification&lt;&gt;"Slender",Ytop,Gen_Prop($AF$83:$AJ$110,"yo"))</f>
        <v>300</v>
      </c>
      <c r="I81" s="297"/>
      <c r="J81" s="297"/>
      <c r="K81" s="38" t="s">
        <v>18</v>
      </c>
      <c r="L81" s="85"/>
      <c r="M81" s="95"/>
      <c r="N81" s="85"/>
      <c r="O81" s="85"/>
      <c r="P81" s="85"/>
      <c r="Q81" s="36" t="s">
        <v>36</v>
      </c>
      <c r="R81" s="85"/>
      <c r="S81" s="85"/>
      <c r="T81" s="85"/>
      <c r="U81" s="37" t="s">
        <v>13</v>
      </c>
      <c r="V81" s="297">
        <f>h-H81</f>
        <v>300</v>
      </c>
      <c r="W81" s="297"/>
      <c r="X81" s="297"/>
      <c r="Y81" s="38" t="s">
        <v>18</v>
      </c>
      <c r="Z81" s="85"/>
      <c r="AA81" s="85"/>
      <c r="AB81" s="85"/>
      <c r="AC81" s="47"/>
    </row>
    <row r="82" spans="1:55" s="2" customFormat="1" ht="15" customHeight="1">
      <c r="A82" s="45"/>
      <c r="B82" s="22"/>
      <c r="C82" s="36" t="s">
        <v>161</v>
      </c>
      <c r="D82" s="85"/>
      <c r="E82" s="85"/>
      <c r="F82" s="85"/>
      <c r="G82" s="37" t="s">
        <v>13</v>
      </c>
      <c r="H82" s="297">
        <f>IF(Classification&lt;&gt;"Slender",Bft/2,Gen_Prop($AF$83:$AJ$110,"xo"))</f>
        <v>110</v>
      </c>
      <c r="I82" s="297"/>
      <c r="J82" s="297"/>
      <c r="K82" s="38" t="s">
        <v>18</v>
      </c>
      <c r="L82" s="38"/>
      <c r="M82" s="85"/>
      <c r="N82" s="85"/>
      <c r="O82" s="85"/>
      <c r="P82" s="85"/>
      <c r="Q82" s="36" t="s">
        <v>163</v>
      </c>
      <c r="R82" s="85"/>
      <c r="S82" s="85"/>
      <c r="T82" s="85"/>
      <c r="U82" s="37" t="s">
        <v>13</v>
      </c>
      <c r="V82" s="297">
        <f>Bft-H82</f>
        <v>110</v>
      </c>
      <c r="W82" s="297"/>
      <c r="X82" s="297"/>
      <c r="Y82" s="38" t="s">
        <v>18</v>
      </c>
      <c r="Z82" s="85"/>
      <c r="AA82" s="85"/>
      <c r="AB82" s="85"/>
      <c r="AC82" s="47"/>
      <c r="AF82" s="2" t="s">
        <v>68</v>
      </c>
      <c r="AG82" s="2" t="s">
        <v>69</v>
      </c>
      <c r="AH82" s="2" t="s">
        <v>70</v>
      </c>
      <c r="AI82" s="2" t="s">
        <v>71</v>
      </c>
      <c r="AJ82" s="2" t="s">
        <v>72</v>
      </c>
      <c r="AL82" s="2" t="s">
        <v>31</v>
      </c>
      <c r="AM82" s="2" t="s">
        <v>73</v>
      </c>
      <c r="AN82" s="2" t="s">
        <v>74</v>
      </c>
      <c r="AO82" s="2" t="s">
        <v>75</v>
      </c>
      <c r="AP82" s="2" t="s">
        <v>76</v>
      </c>
      <c r="AQ82" s="2" t="s">
        <v>77</v>
      </c>
      <c r="AR82" s="2" t="s">
        <v>128</v>
      </c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</row>
    <row r="83" spans="1:55" s="2" customFormat="1" ht="15" customHeight="1">
      <c r="A83" s="45"/>
      <c r="B83" s="22"/>
      <c r="C83" s="36" t="s">
        <v>162</v>
      </c>
      <c r="D83" s="85"/>
      <c r="E83" s="85"/>
      <c r="F83" s="85"/>
      <c r="G83" s="37" t="s">
        <v>13</v>
      </c>
      <c r="H83" s="297">
        <f>IF(Classification&lt;&gt;"Slender",Bft/2,Bfb/2-Bft/2+Gen_Prop($AF$83:$AJ$110,"xo"))</f>
        <v>110</v>
      </c>
      <c r="I83" s="297"/>
      <c r="J83" s="297"/>
      <c r="K83" s="38" t="s">
        <v>18</v>
      </c>
      <c r="L83" s="85"/>
      <c r="M83" s="85"/>
      <c r="N83" s="85"/>
      <c r="O83" s="85"/>
      <c r="P83" s="85"/>
      <c r="Q83" s="36" t="s">
        <v>164</v>
      </c>
      <c r="R83" s="85"/>
      <c r="S83" s="85"/>
      <c r="T83" s="85"/>
      <c r="U83" s="37" t="s">
        <v>13</v>
      </c>
      <c r="V83" s="297">
        <f>Bfb-H83</f>
        <v>110</v>
      </c>
      <c r="W83" s="297"/>
      <c r="X83" s="297"/>
      <c r="Y83" s="38" t="s">
        <v>18</v>
      </c>
      <c r="Z83" s="85"/>
      <c r="AA83" s="85"/>
      <c r="AB83" s="85"/>
      <c r="AC83" s="47"/>
      <c r="AE83" s="208" t="s">
        <v>106</v>
      </c>
      <c r="AF83" s="58">
        <f>AN65</f>
        <v>0</v>
      </c>
      <c r="AG83" s="59">
        <f t="shared" ref="AG83:AG94" si="9">tft</f>
        <v>19</v>
      </c>
      <c r="AH83" s="59">
        <f>ABS(AF83/2)</f>
        <v>0</v>
      </c>
      <c r="AI83" s="59">
        <f t="shared" ref="AI83:AI88" si="10">tft/2</f>
        <v>9.5</v>
      </c>
      <c r="AJ83" s="59">
        <f>IF(AF83&lt;=0,0,1)</f>
        <v>0</v>
      </c>
      <c r="AK83" s="60">
        <f>SUM(AF83:AF85)</f>
        <v>80</v>
      </c>
      <c r="AL83" s="2">
        <f>Gen_Prop($AF$83:$AJ$110,AL82)</f>
        <v>15104</v>
      </c>
      <c r="AM83" s="2">
        <f>Gen_Prop($AF$83:$AJ$100,AM82)</f>
        <v>110</v>
      </c>
      <c r="AN83" s="2">
        <f>Gen_Prop($AF$83:$AJ$100,AN82)</f>
        <v>300</v>
      </c>
      <c r="AO83" s="2">
        <f>Gen_Prop($AF$83:$AJ$100,AO82)</f>
        <v>883258314.66666675</v>
      </c>
      <c r="AP83" s="2">
        <f>Gen_Prop($AF$83:$AJ$100,AP82)</f>
        <v>33799594.666666672</v>
      </c>
      <c r="AQ83" s="2">
        <f>AO83/AN83</f>
        <v>2944194.3822222226</v>
      </c>
      <c r="AR83" s="2">
        <f>AP83/(Bft/2)</f>
        <v>307269.04242424248</v>
      </c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</row>
    <row r="84" spans="1:55" s="2" customFormat="1" ht="15" customHeight="1">
      <c r="A84" s="45"/>
      <c r="B84" s="22"/>
      <c r="C84" s="36" t="s">
        <v>37</v>
      </c>
      <c r="D84" s="85"/>
      <c r="E84" s="85"/>
      <c r="F84" s="85"/>
      <c r="G84" s="37" t="s">
        <v>13</v>
      </c>
      <c r="H84" s="215">
        <f>IF(Classification&lt;&gt;"Slender",Ixx,Gen_Prop($AF$83:$AJ$116,"Ix"))</f>
        <v>920800000</v>
      </c>
      <c r="I84" s="215"/>
      <c r="J84" s="215"/>
      <c r="K84" s="38" t="s">
        <v>38</v>
      </c>
      <c r="L84" s="85"/>
      <c r="M84" s="85"/>
      <c r="N84" s="85"/>
      <c r="O84" s="85"/>
      <c r="P84" s="85"/>
      <c r="Q84" s="36" t="s">
        <v>39</v>
      </c>
      <c r="R84" s="85"/>
      <c r="S84" s="85"/>
      <c r="T84" s="85"/>
      <c r="U84" s="37" t="s">
        <v>13</v>
      </c>
      <c r="V84" s="215">
        <f>IF(Classification&lt;&gt;"Slender",Iyy,Gen_Prop($AF$83:$AJ$110,"Iy"))</f>
        <v>33870000</v>
      </c>
      <c r="W84" s="215"/>
      <c r="X84" s="215"/>
      <c r="Y84" s="38" t="s">
        <v>38</v>
      </c>
      <c r="Z84" s="85"/>
      <c r="AA84" s="85"/>
      <c r="AB84" s="85"/>
      <c r="AC84" s="47"/>
      <c r="AE84" s="209"/>
      <c r="AF84" s="61">
        <f>AO65</f>
        <v>0</v>
      </c>
      <c r="AG84" s="59">
        <f t="shared" si="9"/>
        <v>19</v>
      </c>
      <c r="AH84" s="59">
        <f>ABS(AF83)+ABS(AF84/2)</f>
        <v>0</v>
      </c>
      <c r="AI84" s="59">
        <f t="shared" si="10"/>
        <v>9.5</v>
      </c>
      <c r="AJ84" s="59">
        <f>IF(AF84&lt;=0,0,1)</f>
        <v>0</v>
      </c>
      <c r="AK84" s="59"/>
      <c r="AQ84" s="2" t="s">
        <v>78</v>
      </c>
      <c r="AR84" s="2" t="s">
        <v>129</v>
      </c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</row>
    <row r="85" spans="1:55" s="2" customFormat="1" ht="15" customHeight="1">
      <c r="A85" s="45"/>
      <c r="B85" s="22"/>
      <c r="C85" s="36" t="s">
        <v>43</v>
      </c>
      <c r="D85" s="85"/>
      <c r="E85" s="85"/>
      <c r="F85" s="85"/>
      <c r="G85" s="37" t="s">
        <v>13</v>
      </c>
      <c r="H85" s="215">
        <f>IF(Classification&lt;&gt;"Slender",Sxxtop,H84/H81)</f>
        <v>3069000</v>
      </c>
      <c r="I85" s="215"/>
      <c r="J85" s="215"/>
      <c r="K85" s="38" t="s">
        <v>41</v>
      </c>
      <c r="L85" s="85"/>
      <c r="M85" s="85"/>
      <c r="N85" s="85"/>
      <c r="O85" s="85"/>
      <c r="P85" s="85"/>
      <c r="Q85" s="36" t="s">
        <v>44</v>
      </c>
      <c r="R85" s="85"/>
      <c r="S85" s="85"/>
      <c r="T85" s="85"/>
      <c r="U85" s="37" t="s">
        <v>13</v>
      </c>
      <c r="V85" s="215">
        <f>IF(Classification&lt;&gt;"Slender",Sxxbot,H84/V81)</f>
        <v>3069000</v>
      </c>
      <c r="W85" s="215"/>
      <c r="X85" s="215"/>
      <c r="Y85" s="38" t="s">
        <v>41</v>
      </c>
      <c r="Z85" s="85"/>
      <c r="AA85" s="85"/>
      <c r="AB85" s="85"/>
      <c r="AC85" s="47"/>
      <c r="AE85" s="210"/>
      <c r="AF85" s="62">
        <f>AP65</f>
        <v>80</v>
      </c>
      <c r="AG85" s="63">
        <f t="shared" si="9"/>
        <v>19</v>
      </c>
      <c r="AH85" s="63">
        <f>ABS(AF83)+ABS(AF84)+ABS(AF85/2)</f>
        <v>40</v>
      </c>
      <c r="AI85" s="63">
        <f t="shared" si="10"/>
        <v>9.5</v>
      </c>
      <c r="AJ85" s="59">
        <f t="shared" ref="AJ85:AJ94" si="11">IF(AF85&lt;=0,0,1)</f>
        <v>1</v>
      </c>
      <c r="AK85" s="63"/>
      <c r="AQ85" s="2">
        <f>AO83/(h-AN83)</f>
        <v>2944194.3822222226</v>
      </c>
      <c r="AR85" s="2">
        <f>AP83/(Bfb/2)</f>
        <v>307269.04242424248</v>
      </c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</row>
    <row r="86" spans="1:55" s="2" customFormat="1" ht="15" customHeight="1">
      <c r="A86" s="45"/>
      <c r="B86" s="22"/>
      <c r="C86" s="36" t="s">
        <v>157</v>
      </c>
      <c r="D86" s="85"/>
      <c r="E86" s="85"/>
      <c r="F86" s="85"/>
      <c r="G86" s="37" t="s">
        <v>13</v>
      </c>
      <c r="H86" s="215">
        <f>IF(Classification&lt;&gt;"Slender",Syytop,V84/H82)</f>
        <v>308000</v>
      </c>
      <c r="I86" s="215"/>
      <c r="J86" s="215"/>
      <c r="K86" s="38" t="s">
        <v>41</v>
      </c>
      <c r="L86" s="85"/>
      <c r="Q86" s="36" t="s">
        <v>158</v>
      </c>
      <c r="R86" s="85"/>
      <c r="S86" s="85"/>
      <c r="T86" s="85"/>
      <c r="U86" s="37" t="s">
        <v>13</v>
      </c>
      <c r="V86" s="215">
        <f>IF(Classification&lt;&gt;"Slender",Syybot,V84/H83)</f>
        <v>308000</v>
      </c>
      <c r="W86" s="215"/>
      <c r="X86" s="215"/>
      <c r="Y86" s="38" t="s">
        <v>41</v>
      </c>
      <c r="Z86" s="85"/>
      <c r="AA86" s="85"/>
      <c r="AB86" s="85"/>
      <c r="AC86" s="47"/>
      <c r="AD86" s="54"/>
      <c r="AE86" s="211" t="s">
        <v>103</v>
      </c>
      <c r="AF86" s="67">
        <f>AN66</f>
        <v>80</v>
      </c>
      <c r="AG86" s="68">
        <f t="shared" si="9"/>
        <v>19</v>
      </c>
      <c r="AH86" s="68">
        <f>Bft-ABS((AF86/2))-ABS(AF87)-ABS(AF88)</f>
        <v>180</v>
      </c>
      <c r="AI86" s="68">
        <f t="shared" si="10"/>
        <v>9.5</v>
      </c>
      <c r="AJ86" s="68">
        <f t="shared" si="11"/>
        <v>1</v>
      </c>
      <c r="AK86" s="69">
        <f>SUM(AF86:AF88)</f>
        <v>80</v>
      </c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</row>
    <row r="87" spans="1:55" s="2" customFormat="1" ht="15" customHeight="1">
      <c r="A87" s="45"/>
      <c r="B87" s="22"/>
      <c r="C87" s="36" t="s">
        <v>159</v>
      </c>
      <c r="D87" s="85"/>
      <c r="E87" s="85"/>
      <c r="F87" s="85"/>
      <c r="G87" s="37" t="s">
        <v>13</v>
      </c>
      <c r="H87" s="215">
        <f>IF(Classification&lt;&gt;"Slender",Syytop,V84/V82)</f>
        <v>308000</v>
      </c>
      <c r="I87" s="215"/>
      <c r="J87" s="215"/>
      <c r="K87" s="38" t="s">
        <v>41</v>
      </c>
      <c r="L87" s="85"/>
      <c r="M87" s="110"/>
      <c r="N87" s="110"/>
      <c r="O87" s="110"/>
      <c r="P87" s="110"/>
      <c r="Q87" s="36" t="s">
        <v>160</v>
      </c>
      <c r="R87" s="85"/>
      <c r="S87" s="85"/>
      <c r="T87" s="85"/>
      <c r="U87" s="37" t="s">
        <v>13</v>
      </c>
      <c r="V87" s="215">
        <f>IF(Classification&lt;&gt;"Slender",Syybot,V84/V83)</f>
        <v>308000</v>
      </c>
      <c r="W87" s="215"/>
      <c r="X87" s="215"/>
      <c r="Y87" s="38" t="s">
        <v>41</v>
      </c>
      <c r="AC87" s="47"/>
      <c r="AE87" s="212"/>
      <c r="AF87" s="70">
        <f>AO66</f>
        <v>0</v>
      </c>
      <c r="AG87" s="71">
        <f t="shared" si="9"/>
        <v>19</v>
      </c>
      <c r="AH87" s="71">
        <f>Bft-ABS(AF87/2)-ABS(AF88)</f>
        <v>220</v>
      </c>
      <c r="AI87" s="71">
        <f t="shared" si="10"/>
        <v>9.5</v>
      </c>
      <c r="AJ87" s="71">
        <f t="shared" si="11"/>
        <v>0</v>
      </c>
      <c r="AK87" s="71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</row>
    <row r="88" spans="1:55" s="2" customFormat="1" ht="15" customHeight="1">
      <c r="A88" s="45"/>
      <c r="B88" s="22"/>
      <c r="C88" s="36" t="s">
        <v>45</v>
      </c>
      <c r="D88" s="85"/>
      <c r="E88" s="85"/>
      <c r="F88" s="85"/>
      <c r="G88" s="37" t="s">
        <v>13</v>
      </c>
      <c r="H88" s="188">
        <f>IF(Classification&lt;&gt;"Slender",Rxx,SQRT(H84/H80))</f>
        <v>243</v>
      </c>
      <c r="I88" s="188"/>
      <c r="J88" s="188"/>
      <c r="K88" s="38" t="s">
        <v>18</v>
      </c>
      <c r="L88" s="85"/>
      <c r="M88" s="85"/>
      <c r="N88" s="85"/>
      <c r="O88" s="85"/>
      <c r="P88" s="85"/>
      <c r="Q88" s="36" t="s">
        <v>46</v>
      </c>
      <c r="R88" s="85"/>
      <c r="S88" s="85"/>
      <c r="T88" s="85"/>
      <c r="U88" s="37" t="s">
        <v>13</v>
      </c>
      <c r="V88" s="188">
        <f>IF(Classification&lt;&gt;"Slender",Ryy,SQRT(V84/H80))</f>
        <v>46.6</v>
      </c>
      <c r="W88" s="188"/>
      <c r="X88" s="188"/>
      <c r="Y88" s="38" t="s">
        <v>18</v>
      </c>
      <c r="Z88" s="85"/>
      <c r="AA88" s="85"/>
      <c r="AB88" s="85"/>
      <c r="AC88" s="47"/>
      <c r="AE88" s="213"/>
      <c r="AF88" s="72">
        <f>AP66</f>
        <v>0</v>
      </c>
      <c r="AG88" s="73">
        <f t="shared" si="9"/>
        <v>19</v>
      </c>
      <c r="AH88" s="73">
        <f>Bft-ABS(AF88/2)</f>
        <v>220</v>
      </c>
      <c r="AI88" s="73">
        <f t="shared" si="10"/>
        <v>9.5</v>
      </c>
      <c r="AJ88" s="73">
        <f t="shared" si="11"/>
        <v>0</v>
      </c>
      <c r="AK88" s="73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</row>
    <row r="89" spans="1:55" s="2" customFormat="1" ht="15" customHeight="1">
      <c r="A89" s="45"/>
      <c r="B89" s="22"/>
      <c r="K89" s="38"/>
      <c r="Z89" s="85"/>
      <c r="AA89" s="85"/>
      <c r="AB89" s="85"/>
      <c r="AC89" s="47"/>
      <c r="AE89" s="214" t="s">
        <v>104</v>
      </c>
      <c r="AF89" s="64">
        <f>AN67</f>
        <v>0</v>
      </c>
      <c r="AG89" s="65">
        <f t="shared" si="9"/>
        <v>19</v>
      </c>
      <c r="AH89" s="59">
        <f>ABS(AF89/2)</f>
        <v>0</v>
      </c>
      <c r="AI89" s="65">
        <f>tft+Hw+tfb/2</f>
        <v>590.5</v>
      </c>
      <c r="AJ89" s="59">
        <f t="shared" si="11"/>
        <v>0</v>
      </c>
      <c r="AK89" s="66">
        <f>SUM(AF89:AF91)</f>
        <v>80</v>
      </c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</row>
    <row r="90" spans="1:55" s="2" customFormat="1" ht="15" customHeight="1">
      <c r="A90" s="45"/>
      <c r="B90" s="22"/>
      <c r="AB90" s="43"/>
      <c r="AC90" s="47"/>
      <c r="AE90" s="209"/>
      <c r="AF90" s="61">
        <f>AO67</f>
        <v>0</v>
      </c>
      <c r="AG90" s="59">
        <f t="shared" si="9"/>
        <v>19</v>
      </c>
      <c r="AH90" s="59">
        <f>ABS(AF89)+ABS(AF90/2)</f>
        <v>0</v>
      </c>
      <c r="AI90" s="59">
        <f>AI89</f>
        <v>590.5</v>
      </c>
      <c r="AJ90" s="59">
        <f t="shared" si="11"/>
        <v>0</v>
      </c>
      <c r="AK90" s="59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</row>
    <row r="91" spans="1:55" s="2" customFormat="1" ht="15" customHeight="1">
      <c r="A91" s="45"/>
      <c r="B91" s="22"/>
      <c r="C91" s="185" t="s">
        <v>152</v>
      </c>
      <c r="D91" s="185"/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185"/>
      <c r="Q91" s="185"/>
      <c r="R91" s="185"/>
      <c r="S91" s="185"/>
      <c r="T91" s="185"/>
      <c r="U91" s="185"/>
      <c r="V91" s="185"/>
      <c r="W91" s="185"/>
      <c r="X91" s="185"/>
      <c r="Y91" s="185"/>
      <c r="Z91" s="185"/>
      <c r="AA91" s="185"/>
      <c r="AB91" s="185"/>
      <c r="AC91" s="47"/>
      <c r="AE91" s="210"/>
      <c r="AF91" s="62">
        <f>AP67</f>
        <v>80</v>
      </c>
      <c r="AG91" s="63">
        <f t="shared" si="9"/>
        <v>19</v>
      </c>
      <c r="AH91" s="63">
        <f>ABS(AF89)+ABS(AF90)+ABS(AF91/2)</f>
        <v>40</v>
      </c>
      <c r="AI91" s="63">
        <f>AI90</f>
        <v>590.5</v>
      </c>
      <c r="AJ91" s="59">
        <f t="shared" si="11"/>
        <v>1</v>
      </c>
      <c r="AK91" s="63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</row>
    <row r="92" spans="1:55" s="2" customFormat="1" ht="15" customHeight="1">
      <c r="A92" s="45"/>
      <c r="B92" s="22"/>
      <c r="C92" s="42" t="s">
        <v>48</v>
      </c>
      <c r="D92" s="43"/>
      <c r="E92" s="43"/>
      <c r="F92" s="43"/>
      <c r="H92" s="37" t="s">
        <v>13</v>
      </c>
      <c r="I92" s="196">
        <f>-Mx*1000000/H85</f>
        <v>-32.583903551645484</v>
      </c>
      <c r="J92" s="196"/>
      <c r="K92" s="196"/>
      <c r="L92" s="36" t="s">
        <v>49</v>
      </c>
      <c r="M92" s="43"/>
      <c r="N92" s="43"/>
      <c r="O92" s="43"/>
      <c r="P92" s="43"/>
      <c r="Q92" s="42" t="s">
        <v>50</v>
      </c>
      <c r="R92" s="43"/>
      <c r="S92" s="43"/>
      <c r="T92" s="43"/>
      <c r="V92" s="37" t="s">
        <v>13</v>
      </c>
      <c r="W92" s="196">
        <f>Mx*1000000/V85</f>
        <v>32.583903551645484</v>
      </c>
      <c r="X92" s="196"/>
      <c r="Y92" s="196"/>
      <c r="Z92" s="36" t="s">
        <v>49</v>
      </c>
      <c r="AA92" s="43"/>
      <c r="AB92" s="41"/>
      <c r="AC92" s="47"/>
      <c r="AE92" s="211" t="s">
        <v>105</v>
      </c>
      <c r="AF92" s="67">
        <f>AN68</f>
        <v>80</v>
      </c>
      <c r="AG92" s="68">
        <f t="shared" si="9"/>
        <v>19</v>
      </c>
      <c r="AH92" s="68">
        <f>Bft-ABS((AF92/2))-ABS(AF93)-ABS(AF94)</f>
        <v>180</v>
      </c>
      <c r="AI92" s="68">
        <f>AI91</f>
        <v>590.5</v>
      </c>
      <c r="AJ92" s="68">
        <f t="shared" si="11"/>
        <v>1</v>
      </c>
      <c r="AK92" s="69">
        <f>SUM(AF92:AF94)</f>
        <v>80</v>
      </c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</row>
    <row r="93" spans="1:55" s="2" customFormat="1" ht="15" customHeight="1">
      <c r="A93" s="45"/>
      <c r="B93" s="22"/>
      <c r="C93" s="42" t="s">
        <v>89</v>
      </c>
      <c r="D93" s="43"/>
      <c r="E93" s="43"/>
      <c r="F93" s="43"/>
      <c r="H93" s="37" t="s">
        <v>13</v>
      </c>
      <c r="I93" s="196">
        <f>-My*1000000/H86</f>
        <v>-324.6753246753247</v>
      </c>
      <c r="J93" s="196"/>
      <c r="K93" s="196"/>
      <c r="L93" s="36" t="s">
        <v>49</v>
      </c>
      <c r="M93" s="43"/>
      <c r="N93" s="43"/>
      <c r="O93" s="43"/>
      <c r="P93" s="43"/>
      <c r="Q93" s="42" t="s">
        <v>90</v>
      </c>
      <c r="R93" s="43"/>
      <c r="S93" s="43"/>
      <c r="T93" s="43"/>
      <c r="V93" s="37" t="s">
        <v>13</v>
      </c>
      <c r="W93" s="196">
        <f>My*1000000/H87</f>
        <v>324.6753246753247</v>
      </c>
      <c r="X93" s="196"/>
      <c r="Y93" s="196"/>
      <c r="Z93" s="36" t="s">
        <v>49</v>
      </c>
      <c r="AA93" s="41"/>
      <c r="AB93" s="78"/>
      <c r="AC93" s="47"/>
      <c r="AE93" s="212"/>
      <c r="AF93" s="70">
        <f>AO68</f>
        <v>0</v>
      </c>
      <c r="AG93" s="71">
        <f t="shared" si="9"/>
        <v>19</v>
      </c>
      <c r="AH93" s="71">
        <f>Bft-ABS(AF93/2)-ABS(AF94)</f>
        <v>220</v>
      </c>
      <c r="AI93" s="71">
        <f>AI92</f>
        <v>590.5</v>
      </c>
      <c r="AJ93" s="71">
        <f t="shared" si="11"/>
        <v>0</v>
      </c>
      <c r="AK93" s="71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</row>
    <row r="94" spans="1:55" s="2" customFormat="1" ht="15" customHeight="1">
      <c r="A94" s="45"/>
      <c r="B94" s="22"/>
      <c r="C94" s="42" t="s">
        <v>92</v>
      </c>
      <c r="D94" s="43"/>
      <c r="E94" s="43"/>
      <c r="F94" s="43"/>
      <c r="H94" s="37" t="s">
        <v>13</v>
      </c>
      <c r="I94" s="196">
        <f>-My*1000000/V86</f>
        <v>-324.6753246753247</v>
      </c>
      <c r="J94" s="196"/>
      <c r="K94" s="196"/>
      <c r="L94" s="36" t="s">
        <v>49</v>
      </c>
      <c r="M94" s="43"/>
      <c r="N94" s="43"/>
      <c r="O94" s="43"/>
      <c r="P94" s="43"/>
      <c r="Q94" s="42" t="s">
        <v>91</v>
      </c>
      <c r="R94" s="43"/>
      <c r="S94" s="43"/>
      <c r="T94" s="43"/>
      <c r="V94" s="37" t="s">
        <v>13</v>
      </c>
      <c r="W94" s="196">
        <f>My*1000000/V87</f>
        <v>324.6753246753247</v>
      </c>
      <c r="X94" s="196"/>
      <c r="Y94" s="196"/>
      <c r="Z94" s="36" t="s">
        <v>49</v>
      </c>
      <c r="AA94" s="41"/>
      <c r="AB94" s="78"/>
      <c r="AC94" s="47"/>
      <c r="AE94" s="213"/>
      <c r="AF94" s="72">
        <f>AP68</f>
        <v>0</v>
      </c>
      <c r="AG94" s="73">
        <f t="shared" si="9"/>
        <v>19</v>
      </c>
      <c r="AH94" s="73">
        <f>Bft-ABS(AF94/2)</f>
        <v>220</v>
      </c>
      <c r="AI94" s="73">
        <f>AI93</f>
        <v>590.5</v>
      </c>
      <c r="AJ94" s="73">
        <f t="shared" si="11"/>
        <v>0</v>
      </c>
      <c r="AK94" s="73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</row>
    <row r="95" spans="1:55" s="2" customFormat="1" ht="15" customHeight="1">
      <c r="A95" s="45"/>
      <c r="B95" s="22"/>
      <c r="C95" s="44" t="s">
        <v>51</v>
      </c>
      <c r="D95" s="43"/>
      <c r="E95" s="43"/>
      <c r="F95" s="43"/>
      <c r="H95" s="37" t="s">
        <v>13</v>
      </c>
      <c r="I95" s="196">
        <f>P*1000/H80</f>
        <v>-6.4102564102564106</v>
      </c>
      <c r="J95" s="196"/>
      <c r="K95" s="196"/>
      <c r="L95" s="36" t="s">
        <v>49</v>
      </c>
      <c r="M95" s="78"/>
      <c r="N95" s="78"/>
      <c r="O95" s="78"/>
      <c r="P95" s="78"/>
      <c r="Q95" s="78"/>
      <c r="R95" s="78"/>
      <c r="S95" s="78"/>
      <c r="T95" s="78"/>
      <c r="V95" s="78"/>
      <c r="W95" s="217"/>
      <c r="X95" s="217"/>
      <c r="Y95" s="217"/>
      <c r="Z95" s="78"/>
      <c r="AA95" s="78"/>
      <c r="AB95" s="78"/>
      <c r="AC95" s="47"/>
      <c r="AE95" s="65" t="s">
        <v>95</v>
      </c>
      <c r="AF95" s="65">
        <f t="shared" ref="AF95:AF97" si="12">tw</f>
        <v>12</v>
      </c>
      <c r="AG95" s="66">
        <f>AN73</f>
        <v>257</v>
      </c>
      <c r="AH95" s="65">
        <f>Bft/2</f>
        <v>110</v>
      </c>
      <c r="AI95" s="65">
        <f>tft+rr+AG95/2</f>
        <v>171.5</v>
      </c>
      <c r="AJ95" s="65">
        <v>1</v>
      </c>
      <c r="AK95" s="66">
        <f>SUM(AG95:AG97)</f>
        <v>514</v>
      </c>
      <c r="AL95" s="51">
        <f>SUM(AK95:AK106)</f>
        <v>514</v>
      </c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</row>
    <row r="96" spans="1:55" s="2" customFormat="1" ht="15" customHeight="1">
      <c r="A96" s="45"/>
      <c r="B96" s="22"/>
      <c r="C96" s="78"/>
      <c r="D96" s="44" t="s">
        <v>52</v>
      </c>
      <c r="E96" s="78"/>
      <c r="F96" s="78"/>
      <c r="H96" s="37" t="s">
        <v>13</v>
      </c>
      <c r="I96" s="196">
        <f>I92+I93+I95</f>
        <v>-363.66948463722662</v>
      </c>
      <c r="J96" s="196"/>
      <c r="K96" s="196"/>
      <c r="L96" s="36" t="s">
        <v>49</v>
      </c>
      <c r="M96" s="78"/>
      <c r="N96" s="78"/>
      <c r="O96" s="78"/>
      <c r="P96" s="78"/>
      <c r="Q96" s="44" t="s">
        <v>53</v>
      </c>
      <c r="S96" s="78"/>
      <c r="T96" s="78"/>
      <c r="V96" s="37" t="s">
        <v>13</v>
      </c>
      <c r="W96" s="196">
        <f>I92+W93+I95</f>
        <v>285.68116471342279</v>
      </c>
      <c r="X96" s="196"/>
      <c r="Y96" s="196"/>
      <c r="Z96" s="36" t="s">
        <v>49</v>
      </c>
      <c r="AA96" s="78"/>
      <c r="AB96" s="78"/>
      <c r="AC96" s="47"/>
      <c r="AE96" s="59"/>
      <c r="AF96" s="59">
        <f t="shared" si="12"/>
        <v>12</v>
      </c>
      <c r="AG96" s="60">
        <f>AQ73</f>
        <v>0</v>
      </c>
      <c r="AH96" s="59">
        <f>Bft/2</f>
        <v>110</v>
      </c>
      <c r="AI96" s="59">
        <f>AI95+AG95/2+AG96/2</f>
        <v>300</v>
      </c>
      <c r="AJ96" s="59">
        <v>0</v>
      </c>
      <c r="AK96" s="59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</row>
    <row r="97" spans="1:55" s="2" customFormat="1" ht="15" customHeight="1">
      <c r="A97" s="45"/>
      <c r="B97" s="22"/>
      <c r="D97" s="44" t="s">
        <v>54</v>
      </c>
      <c r="E97" s="78"/>
      <c r="F97" s="78"/>
      <c r="H97" s="37" t="s">
        <v>13</v>
      </c>
      <c r="I97" s="196">
        <f>W92+I94+I95</f>
        <v>-298.50167753393561</v>
      </c>
      <c r="J97" s="196"/>
      <c r="K97" s="196"/>
      <c r="L97" s="36" t="s">
        <v>49</v>
      </c>
      <c r="M97" s="78"/>
      <c r="N97" s="78"/>
      <c r="O97" s="78"/>
      <c r="P97" s="78"/>
      <c r="Q97" s="44" t="s">
        <v>55</v>
      </c>
      <c r="S97" s="78"/>
      <c r="T97" s="78"/>
      <c r="V97" s="37" t="s">
        <v>13</v>
      </c>
      <c r="W97" s="196">
        <f>W92+W94+I95</f>
        <v>350.8489718167138</v>
      </c>
      <c r="X97" s="196"/>
      <c r="Y97" s="196"/>
      <c r="Z97" s="36" t="s">
        <v>49</v>
      </c>
      <c r="AA97" s="78"/>
      <c r="AB97" s="78"/>
      <c r="AC97" s="47"/>
      <c r="AE97" s="59"/>
      <c r="AF97" s="59">
        <f t="shared" si="12"/>
        <v>12</v>
      </c>
      <c r="AG97" s="60">
        <f>AO73</f>
        <v>257</v>
      </c>
      <c r="AH97" s="59">
        <f>Bft/2</f>
        <v>110</v>
      </c>
      <c r="AI97" s="59">
        <f>AI96+AG96/2+AG97/2</f>
        <v>428.5</v>
      </c>
      <c r="AJ97" s="59">
        <v>1</v>
      </c>
      <c r="AK97" s="59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</row>
    <row r="98" spans="1:55" s="2" customFormat="1" ht="15" customHeight="1">
      <c r="A98" s="45"/>
      <c r="B98" s="22"/>
      <c r="AC98" s="47"/>
      <c r="AE98" s="65" t="s">
        <v>95</v>
      </c>
      <c r="AF98" s="65"/>
      <c r="AG98" s="66"/>
      <c r="AH98" s="65"/>
      <c r="AI98" s="65"/>
      <c r="AJ98" s="65"/>
      <c r="AK98" s="6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</row>
    <row r="99" spans="1:55" s="2" customFormat="1" ht="15" customHeight="1" thickBot="1">
      <c r="A99" s="45"/>
      <c r="B99" s="30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2" t="s">
        <v>140</v>
      </c>
      <c r="AE99" s="59"/>
      <c r="AF99" s="59"/>
      <c r="AG99" s="60"/>
      <c r="AH99" s="59"/>
      <c r="AI99" s="59"/>
      <c r="AJ99" s="59"/>
      <c r="AK99" s="59"/>
      <c r="AL99" s="46"/>
      <c r="AM99" s="46"/>
      <c r="AN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</row>
    <row r="100" spans="1:55" s="2" customFormat="1" ht="15" customHeight="1">
      <c r="A100" s="45"/>
      <c r="B100" s="81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3"/>
      <c r="AA100" s="83"/>
      <c r="AB100" s="83"/>
      <c r="AC100" s="84"/>
      <c r="AE100" s="59"/>
      <c r="AF100" s="59"/>
      <c r="AG100" s="60"/>
      <c r="AH100" s="59"/>
      <c r="AI100" s="59"/>
      <c r="AJ100" s="59"/>
      <c r="AK100" s="59"/>
      <c r="AL100" s="46"/>
      <c r="AM100" s="46"/>
      <c r="AN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</row>
    <row r="101" spans="1:55" s="2" customFormat="1" ht="15" customHeight="1">
      <c r="A101" s="45"/>
      <c r="B101" s="22"/>
      <c r="C101" s="185" t="s">
        <v>235</v>
      </c>
      <c r="D101" s="185"/>
      <c r="E101" s="185"/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185"/>
      <c r="Q101" s="185"/>
      <c r="R101" s="185"/>
      <c r="S101" s="185"/>
      <c r="T101" s="185"/>
      <c r="U101" s="185"/>
      <c r="V101" s="185"/>
      <c r="W101" s="185"/>
      <c r="X101" s="185"/>
      <c r="Y101" s="185"/>
      <c r="Z101" s="185"/>
      <c r="AA101" s="185"/>
      <c r="AB101" s="185"/>
      <c r="AC101" s="47"/>
      <c r="AD101" s="46"/>
      <c r="AE101" s="65" t="s">
        <v>95</v>
      </c>
      <c r="AF101" s="65"/>
      <c r="AG101" s="66"/>
      <c r="AH101" s="65"/>
      <c r="AI101" s="65"/>
      <c r="AJ101" s="65"/>
      <c r="AK101" s="66"/>
      <c r="AL101" s="46"/>
      <c r="AM101" s="46"/>
      <c r="AN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</row>
    <row r="102" spans="1:55" s="2" customFormat="1" ht="15" customHeight="1">
      <c r="A102" s="45"/>
      <c r="B102" s="22"/>
      <c r="C102" s="42" t="s">
        <v>138</v>
      </c>
      <c r="D102" s="85"/>
      <c r="E102" s="103"/>
      <c r="F102" s="85"/>
      <c r="G102" s="37" t="s">
        <v>13</v>
      </c>
      <c r="H102" s="188">
        <f>klx/Rxx</f>
        <v>23.127572016460906</v>
      </c>
      <c r="I102" s="188"/>
      <c r="J102" s="188"/>
      <c r="K102" s="85"/>
      <c r="L102" s="98"/>
      <c r="M102" s="98"/>
      <c r="N102" s="85"/>
      <c r="O102" s="85"/>
      <c r="P102" s="85"/>
      <c r="Q102" s="42" t="s">
        <v>139</v>
      </c>
      <c r="S102" s="85"/>
      <c r="T102" s="85"/>
      <c r="U102" s="37" t="s">
        <v>13</v>
      </c>
      <c r="V102" s="188">
        <f>kly/Ryy</f>
        <v>120.6008583690987</v>
      </c>
      <c r="W102" s="188"/>
      <c r="X102" s="188"/>
      <c r="Y102" s="85"/>
      <c r="Z102" s="85"/>
      <c r="AA102" s="85"/>
      <c r="AB102" s="85"/>
      <c r="AC102" s="47"/>
      <c r="AD102" s="46"/>
      <c r="AE102" s="59"/>
      <c r="AF102" s="59"/>
      <c r="AG102" s="60"/>
      <c r="AH102" s="59"/>
      <c r="AI102" s="59"/>
      <c r="AJ102" s="59"/>
      <c r="AK102" s="59"/>
      <c r="AL102" s="46"/>
      <c r="AM102" s="46"/>
      <c r="AN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</row>
    <row r="103" spans="1:55" s="2" customFormat="1" ht="15" customHeight="1">
      <c r="A103" s="45"/>
      <c r="B103" s="22"/>
      <c r="C103" s="42" t="s">
        <v>224</v>
      </c>
      <c r="G103" s="37" t="s">
        <v>13</v>
      </c>
      <c r="H103" s="188">
        <f>IF(Lamda_f&gt;Lamda_r_f,0.78*tft*SQRT(Es/Fy)*(1-0.13/Lamda_f*SQRT(Es/Fy)),Lamda_f*tft)</f>
        <v>80</v>
      </c>
      <c r="I103" s="188"/>
      <c r="J103" s="188"/>
      <c r="K103" s="36" t="s">
        <v>18</v>
      </c>
      <c r="Q103" s="42" t="s">
        <v>225</v>
      </c>
      <c r="R103" s="120"/>
      <c r="S103" s="120"/>
      <c r="T103" s="120"/>
      <c r="U103" s="37" t="s">
        <v>13</v>
      </c>
      <c r="V103" s="188">
        <f>IF(Lamda_w&gt;Lamda_r_w,1.92*tw*SQRT(Es/Fy)*(1-0.385/Lamda_w*SQRT(Es/Fy)),Lamda_w*tw)</f>
        <v>514</v>
      </c>
      <c r="W103" s="188"/>
      <c r="X103" s="188"/>
      <c r="Y103" s="36" t="s">
        <v>18</v>
      </c>
      <c r="AC103" s="47"/>
      <c r="AD103" s="46"/>
      <c r="AE103" s="59"/>
      <c r="AF103" s="59"/>
      <c r="AG103" s="60"/>
      <c r="AH103" s="59"/>
      <c r="AI103" s="59"/>
      <c r="AJ103" s="59"/>
      <c r="AK103" s="59"/>
      <c r="AL103" s="46"/>
      <c r="AM103" s="46"/>
      <c r="AN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</row>
    <row r="104" spans="1:55" s="2" customFormat="1" ht="15" customHeight="1">
      <c r="A104" s="45"/>
      <c r="B104" s="22"/>
      <c r="C104" s="36" t="s">
        <v>174</v>
      </c>
      <c r="D104" s="85"/>
      <c r="E104" s="85"/>
      <c r="F104" s="85"/>
      <c r="G104" s="37" t="s">
        <v>13</v>
      </c>
      <c r="H104" s="314">
        <f>IF(Classification="Slender",(Area-(AD65-H103)*4*tft-(AF73-V103)*tw)/Area,1)</f>
        <v>1</v>
      </c>
      <c r="I104" s="314"/>
      <c r="J104" s="314"/>
      <c r="Q104" s="36" t="s">
        <v>175</v>
      </c>
      <c r="R104" s="85"/>
      <c r="S104" s="103"/>
      <c r="T104" s="85"/>
      <c r="U104" s="37" t="s">
        <v>13</v>
      </c>
      <c r="V104" s="188">
        <f>PI()*PI()*Es/(MAX(Lamda_x,Lamda_y))^2</f>
        <v>142.5011083945941</v>
      </c>
      <c r="W104" s="188"/>
      <c r="X104" s="188"/>
      <c r="Y104" s="36" t="s">
        <v>49</v>
      </c>
      <c r="AC104" s="47"/>
      <c r="AD104" s="46"/>
      <c r="AE104" s="65" t="s">
        <v>95</v>
      </c>
      <c r="AF104" s="65"/>
      <c r="AG104" s="66"/>
      <c r="AH104" s="65"/>
      <c r="AI104" s="65"/>
      <c r="AJ104" s="65"/>
      <c r="AK104" s="66"/>
      <c r="AL104" s="46"/>
      <c r="AM104" s="46"/>
      <c r="AN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</row>
    <row r="105" spans="1:55" s="2" customFormat="1" ht="15" customHeight="1">
      <c r="A105" s="45"/>
      <c r="B105" s="22"/>
      <c r="C105" s="42" t="s">
        <v>178</v>
      </c>
      <c r="D105" s="85"/>
      <c r="E105" s="103"/>
      <c r="F105" s="85"/>
      <c r="G105" s="37" t="s">
        <v>13</v>
      </c>
      <c r="H105" s="188">
        <f>SQRT(Q*Fy/Fe)</f>
        <v>1.5894326470214635</v>
      </c>
      <c r="I105" s="188"/>
      <c r="J105" s="188"/>
      <c r="Q105" s="42" t="s">
        <v>176</v>
      </c>
      <c r="S105" s="85"/>
      <c r="T105" s="85"/>
      <c r="U105" s="37" t="s">
        <v>13</v>
      </c>
      <c r="V105" s="188">
        <f>-phic*IF(Lamda_c&lt;=1.1,Q*(1-0.384*Q*(Lamda_c/SQRT(Q))^2)*Fy,0.648*Fy/(Lamda_c/SQRT(Q))^2)</f>
        <v>-73.872574591757584</v>
      </c>
      <c r="W105" s="188"/>
      <c r="X105" s="188"/>
      <c r="Y105" s="38" t="s">
        <v>24</v>
      </c>
      <c r="AC105" s="47"/>
      <c r="AD105" s="46"/>
      <c r="AE105" s="59"/>
      <c r="AF105" s="59"/>
      <c r="AG105" s="60"/>
      <c r="AH105" s="59"/>
      <c r="AI105" s="59"/>
      <c r="AJ105" s="59"/>
      <c r="AK105" s="59"/>
      <c r="AL105" s="46"/>
      <c r="AM105" s="46"/>
      <c r="AN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</row>
    <row r="106" spans="1:55" s="2" customFormat="1" ht="15" customHeight="1">
      <c r="A106" s="45"/>
      <c r="B106" s="22"/>
      <c r="C106" s="131" t="s">
        <v>228</v>
      </c>
      <c r="D106" s="127"/>
      <c r="E106" s="128"/>
      <c r="F106" s="132"/>
      <c r="G106" s="133" t="s">
        <v>13</v>
      </c>
      <c r="H106" s="186">
        <v>0.8</v>
      </c>
      <c r="I106" s="186"/>
      <c r="J106" s="186"/>
      <c r="K106" s="127"/>
      <c r="L106" s="128"/>
      <c r="M106" s="128"/>
      <c r="N106" s="128"/>
      <c r="O106" s="128"/>
      <c r="P106" s="128"/>
      <c r="Q106" s="134" t="s">
        <v>229</v>
      </c>
      <c r="R106" s="127"/>
      <c r="S106" s="128"/>
      <c r="T106" s="128"/>
      <c r="U106" s="133" t="s">
        <v>13</v>
      </c>
      <c r="V106" s="186">
        <f>-phic*IF(Lamda_c&lt;=1.1,Q*(1-0.384*Q*(Lamda_c/SQRT(Q))^2)*Fy,0.648*Fy/(Lamda_c/SQRT(Q))^2)*Area/1000</f>
        <v>-1152.4121636314183</v>
      </c>
      <c r="W106" s="186"/>
      <c r="X106" s="186"/>
      <c r="Y106" s="135" t="s">
        <v>15</v>
      </c>
      <c r="Z106" s="128"/>
      <c r="AA106" s="128"/>
      <c r="AB106" s="130"/>
      <c r="AC106" s="47"/>
      <c r="AD106" s="46"/>
      <c r="AE106" s="59"/>
      <c r="AF106" s="59"/>
      <c r="AG106" s="60"/>
      <c r="AH106" s="59"/>
      <c r="AI106" s="59"/>
      <c r="AJ106" s="59"/>
      <c r="AK106" s="59"/>
      <c r="AL106" s="46"/>
      <c r="AM106" s="46"/>
      <c r="AN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</row>
    <row r="107" spans="1:55" s="2" customFormat="1" ht="15" customHeight="1">
      <c r="A107" s="45"/>
      <c r="B107" s="22"/>
      <c r="L107" s="85"/>
      <c r="M107" s="85"/>
      <c r="N107" s="85"/>
      <c r="O107" s="85"/>
      <c r="P107" s="85"/>
      <c r="Z107" s="85"/>
      <c r="AA107" s="85"/>
      <c r="AB107" s="101"/>
      <c r="AC107" s="47"/>
      <c r="AD107" s="46"/>
      <c r="AE107" s="74" t="s">
        <v>79</v>
      </c>
      <c r="AF107" s="74">
        <f>tw+rr*2</f>
        <v>60</v>
      </c>
      <c r="AG107" s="74">
        <f>tft</f>
        <v>19</v>
      </c>
      <c r="AH107" s="74">
        <f>Bft/2</f>
        <v>110</v>
      </c>
      <c r="AI107" s="74">
        <f>tft/2</f>
        <v>9.5</v>
      </c>
      <c r="AJ107" s="74">
        <v>1</v>
      </c>
      <c r="AK107" s="2">
        <f>SUM(AG107:AG110)</f>
        <v>86</v>
      </c>
      <c r="AL107" s="46"/>
      <c r="AM107" s="46"/>
      <c r="AN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  <c r="BC107" s="46"/>
    </row>
    <row r="108" spans="1:55" s="2" customFormat="1" ht="15" customHeight="1">
      <c r="A108" s="45"/>
      <c r="B108" s="22"/>
      <c r="C108" s="185" t="s">
        <v>236</v>
      </c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185"/>
      <c r="Q108" s="185"/>
      <c r="R108" s="185"/>
      <c r="S108" s="185"/>
      <c r="T108" s="185"/>
      <c r="U108" s="185"/>
      <c r="V108" s="185"/>
      <c r="W108" s="185"/>
      <c r="X108" s="185"/>
      <c r="Y108" s="185"/>
      <c r="Z108" s="185"/>
      <c r="AA108" s="185"/>
      <c r="AB108" s="185"/>
      <c r="AC108" s="47"/>
      <c r="AD108" s="46"/>
      <c r="AE108" s="74"/>
      <c r="AF108" s="74">
        <f>tw</f>
        <v>12</v>
      </c>
      <c r="AG108" s="74">
        <f>rr</f>
        <v>24</v>
      </c>
      <c r="AH108" s="74">
        <f>AH107</f>
        <v>110</v>
      </c>
      <c r="AI108" s="74">
        <f>tft+rr/2</f>
        <v>31</v>
      </c>
      <c r="AJ108" s="74">
        <v>1</v>
      </c>
      <c r="AK108" s="51"/>
      <c r="AL108" s="46"/>
      <c r="AM108" s="46"/>
      <c r="AN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</row>
    <row r="109" spans="1:55" s="2" customFormat="1" ht="15" customHeight="1">
      <c r="A109" s="45"/>
      <c r="B109" s="22"/>
      <c r="C109" s="131" t="s">
        <v>227</v>
      </c>
      <c r="D109" s="128"/>
      <c r="E109" s="132"/>
      <c r="F109" s="133" t="s">
        <v>13</v>
      </c>
      <c r="G109" s="186">
        <v>0.85</v>
      </c>
      <c r="H109" s="186"/>
      <c r="I109" s="186"/>
      <c r="J109" s="127"/>
      <c r="K109" s="127"/>
      <c r="L109" s="136"/>
      <c r="M109" s="128"/>
      <c r="N109" s="128"/>
      <c r="O109" s="128"/>
      <c r="P109" s="128"/>
      <c r="Q109" s="134" t="s">
        <v>230</v>
      </c>
      <c r="R109" s="127"/>
      <c r="S109" s="127"/>
      <c r="T109" s="127"/>
      <c r="U109" s="133" t="s">
        <v>13</v>
      </c>
      <c r="V109" s="186">
        <f>Phit*Fy*Area/1000</f>
        <v>4773.6000000000004</v>
      </c>
      <c r="W109" s="186"/>
      <c r="X109" s="186"/>
      <c r="Y109" s="135" t="s">
        <v>24</v>
      </c>
      <c r="Z109" s="128"/>
      <c r="AA109" s="128"/>
      <c r="AB109" s="130"/>
      <c r="AC109" s="47"/>
      <c r="AD109" s="46"/>
      <c r="AF109" s="74">
        <f>AF107</f>
        <v>60</v>
      </c>
      <c r="AG109" s="74">
        <f>tfb</f>
        <v>19</v>
      </c>
      <c r="AH109" s="74">
        <f>AH108</f>
        <v>110</v>
      </c>
      <c r="AI109" s="74">
        <f>tft+Hw+tfb/2</f>
        <v>590.5</v>
      </c>
      <c r="AJ109" s="74">
        <v>1</v>
      </c>
      <c r="AL109" s="46"/>
      <c r="AM109" s="46"/>
      <c r="AN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  <c r="BC109" s="46"/>
    </row>
    <row r="110" spans="1:55" s="2" customFormat="1" ht="15" customHeight="1">
      <c r="A110" s="45"/>
      <c r="B110" s="22"/>
      <c r="AC110" s="47"/>
      <c r="AD110" s="46"/>
      <c r="AF110" s="2">
        <f>AF108</f>
        <v>12</v>
      </c>
      <c r="AG110" s="2">
        <f>AG108</f>
        <v>24</v>
      </c>
      <c r="AH110" s="2">
        <f>AH109</f>
        <v>110</v>
      </c>
      <c r="AI110" s="2">
        <f>tft+Hw-rr/2</f>
        <v>569</v>
      </c>
      <c r="AJ110" s="2">
        <v>1</v>
      </c>
      <c r="AL110" s="46"/>
      <c r="AM110" s="46"/>
      <c r="AN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</row>
    <row r="111" spans="1:55" s="2" customFormat="1" ht="15" customHeight="1">
      <c r="A111" s="45"/>
      <c r="B111" s="22"/>
      <c r="C111" s="185" t="s">
        <v>726</v>
      </c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  <c r="N111" s="185"/>
      <c r="O111" s="185"/>
      <c r="P111" s="185"/>
      <c r="Q111" s="185"/>
      <c r="R111" s="185"/>
      <c r="S111" s="185"/>
      <c r="T111" s="185"/>
      <c r="U111" s="185"/>
      <c r="V111" s="185"/>
      <c r="W111" s="185"/>
      <c r="X111" s="185"/>
      <c r="Y111" s="185"/>
      <c r="Z111" s="185"/>
      <c r="AA111" s="185"/>
      <c r="AB111" s="185"/>
      <c r="AC111" s="47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</row>
    <row r="112" spans="1:55" s="2" customFormat="1" ht="15" customHeight="1">
      <c r="A112" s="45"/>
      <c r="B112" s="22"/>
      <c r="C112" s="36" t="s">
        <v>179</v>
      </c>
      <c r="D112" s="85"/>
      <c r="E112" s="103"/>
      <c r="F112" s="85"/>
      <c r="G112" s="37" t="s">
        <v>13</v>
      </c>
      <c r="H112" s="198">
        <f>80*Ryy/SQRT(Fy/100)</f>
        <v>1964.8285195179531</v>
      </c>
      <c r="I112" s="198"/>
      <c r="J112" s="198"/>
      <c r="K112" s="38" t="s">
        <v>18</v>
      </c>
      <c r="L112" s="85"/>
      <c r="M112" s="39" t="s">
        <v>181</v>
      </c>
      <c r="N112" s="85"/>
      <c r="O112" s="85"/>
      <c r="P112" s="85"/>
      <c r="AC112" s="47"/>
      <c r="AD112" s="46"/>
      <c r="AG112" s="46"/>
      <c r="AH112" s="46"/>
      <c r="AI112" s="46"/>
      <c r="AJ112" s="46"/>
      <c r="AK112" s="46"/>
      <c r="AL112" s="46"/>
      <c r="AM112" s="46"/>
      <c r="AN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</row>
    <row r="113" spans="1:55" s="2" customFormat="1" ht="15" customHeight="1">
      <c r="A113" s="45"/>
      <c r="B113" s="22"/>
      <c r="C113" s="36" t="s">
        <v>180</v>
      </c>
      <c r="D113" s="85"/>
      <c r="E113" s="103"/>
      <c r="F113" s="85"/>
      <c r="G113" s="37" t="s">
        <v>13</v>
      </c>
      <c r="H113" s="198">
        <f>1380*(Bft*tft)/h/(FL/100)*SQRT(1/2*(1+SQRT(1+(2*X*(FL/100))^2)))</f>
        <v>5603.8940223815234</v>
      </c>
      <c r="I113" s="198"/>
      <c r="J113" s="198"/>
      <c r="K113" s="38" t="s">
        <v>18</v>
      </c>
      <c r="L113" s="85"/>
      <c r="M113" s="39" t="s">
        <v>182</v>
      </c>
      <c r="N113" s="85"/>
      <c r="O113" s="85"/>
      <c r="P113" s="85"/>
      <c r="Z113" s="85"/>
      <c r="AA113" s="85"/>
      <c r="AB113" s="85"/>
      <c r="AC113" s="47"/>
      <c r="AD113" s="46"/>
      <c r="AL113" s="46"/>
      <c r="AM113" s="46"/>
      <c r="AN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</row>
    <row r="114" spans="1:55" s="2" customFormat="1" ht="15" customHeight="1">
      <c r="A114" s="45"/>
      <c r="B114" s="22"/>
      <c r="C114" s="38" t="s">
        <v>183</v>
      </c>
      <c r="D114" s="85"/>
      <c r="E114" s="103"/>
      <c r="F114" s="85"/>
      <c r="G114" s="37" t="s">
        <v>13</v>
      </c>
      <c r="H114" s="216">
        <f>(0.104*Rt*h/(Bft*tft))^2</f>
        <v>0.70835913312693488</v>
      </c>
      <c r="I114" s="216"/>
      <c r="J114" s="216"/>
      <c r="K114" s="38" t="s">
        <v>18</v>
      </c>
      <c r="M114" s="39"/>
      <c r="N114" s="85"/>
      <c r="O114" s="85"/>
      <c r="Q114" s="38" t="s">
        <v>184</v>
      </c>
      <c r="R114" s="85"/>
      <c r="U114" s="37" t="s">
        <v>13</v>
      </c>
      <c r="V114" s="188">
        <f>0.75*Fy</f>
        <v>270</v>
      </c>
      <c r="W114" s="188"/>
      <c r="X114" s="188"/>
      <c r="Y114" s="38" t="s">
        <v>24</v>
      </c>
      <c r="AA114" s="85"/>
      <c r="AB114" s="85"/>
      <c r="AC114" s="47"/>
      <c r="AD114" s="46"/>
      <c r="AL114" s="46"/>
      <c r="AM114" s="46"/>
      <c r="AN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</row>
    <row r="115" spans="1:55" s="2" customFormat="1" ht="15" customHeight="1">
      <c r="A115" s="45"/>
      <c r="B115" s="22"/>
      <c r="C115" s="36" t="s">
        <v>185</v>
      </c>
      <c r="D115" s="85"/>
      <c r="E115" s="103"/>
      <c r="F115" s="85"/>
      <c r="G115" s="37" t="s">
        <v>13</v>
      </c>
      <c r="H115" s="188">
        <f>MIN(Fy*Zxx,1.5*Fy*Sxxtop)/1000000</f>
        <v>1264.32</v>
      </c>
      <c r="I115" s="188"/>
      <c r="J115" s="188"/>
      <c r="K115" s="38" t="s">
        <v>14</v>
      </c>
      <c r="M115" s="39" t="s">
        <v>186</v>
      </c>
      <c r="P115" s="36"/>
      <c r="Q115" s="85"/>
      <c r="R115" s="103"/>
      <c r="S115" s="85"/>
      <c r="T115" s="37"/>
      <c r="AB115" s="85"/>
      <c r="AC115" s="47"/>
      <c r="AD115" s="46"/>
      <c r="AF115" s="85"/>
      <c r="AG115" s="46"/>
      <c r="AH115" s="46"/>
      <c r="AI115" s="46"/>
      <c r="AJ115" s="46"/>
      <c r="AK115" s="46"/>
      <c r="AL115" s="46"/>
      <c r="AM115" s="46"/>
      <c r="AN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</row>
    <row r="116" spans="1:55" s="2" customFormat="1" ht="15" customHeight="1">
      <c r="A116" s="45"/>
      <c r="B116" s="22"/>
      <c r="C116" s="36" t="s">
        <v>187</v>
      </c>
      <c r="D116" s="85"/>
      <c r="E116" s="103"/>
      <c r="F116" s="85"/>
      <c r="G116" s="37" t="s">
        <v>13</v>
      </c>
      <c r="H116" s="188">
        <f>FL*Sxxtop/1000000</f>
        <v>828.63</v>
      </c>
      <c r="I116" s="188"/>
      <c r="J116" s="188"/>
      <c r="K116" s="38" t="s">
        <v>14</v>
      </c>
      <c r="M116" s="39" t="s">
        <v>188</v>
      </c>
      <c r="P116" s="36"/>
      <c r="Q116" s="85"/>
      <c r="R116" s="103"/>
      <c r="AC116" s="47"/>
      <c r="AD116" s="46"/>
      <c r="AE116" s="207"/>
      <c r="AF116" s="188"/>
      <c r="AG116" s="188"/>
      <c r="AH116" s="46"/>
      <c r="AI116" s="46"/>
      <c r="AJ116" s="46"/>
      <c r="AK116" s="46"/>
      <c r="AL116" s="46"/>
      <c r="AM116" s="46"/>
      <c r="AN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</row>
    <row r="117" spans="1:55" s="2" customFormat="1" ht="15" customHeight="1">
      <c r="A117" s="45"/>
      <c r="B117" s="22"/>
      <c r="C117" s="36" t="s">
        <v>190</v>
      </c>
      <c r="D117" s="85"/>
      <c r="E117" s="85"/>
      <c r="F117" s="85"/>
      <c r="G117" s="37" t="s">
        <v>13</v>
      </c>
      <c r="H117" s="188">
        <f>MIN(Sxxtop*100*SQRT((1380*(Bft*tft)/h/Lb)^2+(20700/(Lb/Rt)^2)^2)/1000000,Mp)</f>
        <v>827.27669848440155</v>
      </c>
      <c r="I117" s="188"/>
      <c r="J117" s="188"/>
      <c r="K117" s="38" t="s">
        <v>14</v>
      </c>
      <c r="L117" s="85"/>
      <c r="M117" s="39" t="s">
        <v>189</v>
      </c>
      <c r="U117" s="188"/>
      <c r="V117" s="188"/>
      <c r="W117" s="188"/>
      <c r="X117" s="38"/>
      <c r="Y117" s="85"/>
      <c r="AC117" s="47"/>
      <c r="AD117" s="46"/>
      <c r="AG117" s="46"/>
      <c r="AH117" s="46"/>
      <c r="AI117" s="46"/>
      <c r="AJ117" s="46"/>
      <c r="AK117" s="46"/>
      <c r="AL117" s="46"/>
      <c r="AM117" s="46"/>
      <c r="AN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</row>
    <row r="118" spans="1:55" s="2" customFormat="1" ht="15" customHeight="1">
      <c r="A118" s="45"/>
      <c r="B118" s="22"/>
      <c r="C118" s="125" t="s">
        <v>237</v>
      </c>
      <c r="AA118" s="85"/>
      <c r="AB118" s="85"/>
      <c r="AC118" s="47"/>
      <c r="AD118" s="46"/>
      <c r="AG118" s="46"/>
      <c r="AH118" s="46"/>
      <c r="AI118" s="46"/>
      <c r="AJ118" s="46"/>
      <c r="AK118" s="46"/>
      <c r="AL118" s="46"/>
      <c r="AM118" s="46"/>
      <c r="AN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</row>
    <row r="119" spans="1:55" s="2" customFormat="1" ht="15" customHeight="1">
      <c r="A119" s="45"/>
      <c r="B119" s="22"/>
      <c r="C119" s="36" t="s">
        <v>717</v>
      </c>
      <c r="D119" s="85"/>
      <c r="E119" s="85"/>
      <c r="F119" s="85"/>
      <c r="G119" s="37" t="s">
        <v>13</v>
      </c>
      <c r="H119" s="190">
        <f>IF(Lb&lt;=Lp,Mp,IF(Lb&lt;=Lr,(Mp-(Mp-Mr)*(Lb-Lp)/(Lr-Lp))*Cb,MIN(Cb*Mcr,Mp)))</f>
        <v>827.27669848440155</v>
      </c>
      <c r="I119" s="191"/>
      <c r="J119" s="191"/>
      <c r="K119" s="38" t="s">
        <v>14</v>
      </c>
      <c r="L119" s="85"/>
      <c r="M119" s="39" t="s">
        <v>716</v>
      </c>
      <c r="N119" s="178"/>
      <c r="O119" s="178"/>
      <c r="P119" s="178"/>
      <c r="Q119" s="178"/>
      <c r="R119" s="178"/>
      <c r="S119" s="178"/>
      <c r="T119" s="178"/>
      <c r="U119" s="110"/>
      <c r="Y119" s="38"/>
      <c r="Z119" s="114"/>
      <c r="AA119" s="37"/>
      <c r="AB119" s="115"/>
      <c r="AC119" s="47"/>
      <c r="AD119" s="46"/>
      <c r="AG119" s="46"/>
      <c r="AH119" s="46"/>
      <c r="AI119" s="46"/>
      <c r="AJ119" s="46"/>
      <c r="AK119" s="46"/>
      <c r="AL119" s="46"/>
      <c r="AM119" s="46"/>
      <c r="AN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</row>
    <row r="120" spans="1:55" s="2" customFormat="1" ht="15" customHeight="1">
      <c r="A120" s="45"/>
      <c r="B120" s="22"/>
      <c r="C120" s="36" t="s">
        <v>203</v>
      </c>
      <c r="D120" s="85"/>
      <c r="E120" s="85"/>
      <c r="F120" s="85"/>
      <c r="G120" s="37" t="s">
        <v>13</v>
      </c>
      <c r="H120" s="190">
        <f>IF(Classification="Compact",MIN(Mp,H119),"N.A.")</f>
        <v>827.27669848440155</v>
      </c>
      <c r="I120" s="191"/>
      <c r="J120" s="191"/>
      <c r="K120" s="38" t="s">
        <v>14</v>
      </c>
      <c r="L120" s="85"/>
      <c r="M120" s="39" t="s">
        <v>197</v>
      </c>
      <c r="N120" s="109"/>
      <c r="Q120" s="110"/>
      <c r="R120" s="110"/>
      <c r="S120" s="110"/>
      <c r="T120" s="110"/>
      <c r="AC120" s="47"/>
      <c r="AD120" s="46"/>
      <c r="AG120" s="46"/>
      <c r="AH120" s="46"/>
      <c r="AI120" s="46"/>
      <c r="AJ120" s="46"/>
      <c r="AK120" s="46"/>
      <c r="AL120" s="46"/>
      <c r="AM120" s="46"/>
      <c r="AN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  <c r="BC120" s="46"/>
    </row>
    <row r="121" spans="1:55" s="2" customFormat="1" ht="15" customHeight="1">
      <c r="A121" s="45"/>
      <c r="B121" s="22"/>
      <c r="C121" s="125" t="s">
        <v>238</v>
      </c>
      <c r="AC121" s="47"/>
      <c r="AD121" s="46"/>
      <c r="AG121" s="46"/>
      <c r="AH121" s="46"/>
      <c r="AI121" s="46"/>
      <c r="AJ121" s="46"/>
      <c r="AK121" s="46"/>
      <c r="AL121" s="46"/>
      <c r="AM121" s="46"/>
      <c r="AN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</row>
    <row r="122" spans="1:55" s="2" customFormat="1" ht="15" customHeight="1">
      <c r="A122" s="45"/>
      <c r="B122" s="22"/>
      <c r="C122" s="42" t="s">
        <v>193</v>
      </c>
      <c r="G122" s="37" t="s">
        <v>13</v>
      </c>
      <c r="H122" s="190">
        <f>16.9/SQRT(Fy/100)</f>
        <v>8.9070820761409344</v>
      </c>
      <c r="I122" s="191"/>
      <c r="J122" s="191"/>
      <c r="Q122" s="42" t="s">
        <v>195</v>
      </c>
      <c r="R122" s="113"/>
      <c r="S122" s="113"/>
      <c r="T122" s="113"/>
      <c r="U122" s="37" t="s">
        <v>13</v>
      </c>
      <c r="V122" s="190">
        <f>33/SQRT(Fy/100)</f>
        <v>17.392527130926087</v>
      </c>
      <c r="W122" s="191"/>
      <c r="X122" s="191"/>
      <c r="AC122" s="47"/>
      <c r="AD122" s="46"/>
      <c r="AG122" s="46"/>
      <c r="AH122" s="46"/>
      <c r="AI122" s="46"/>
      <c r="AJ122" s="46"/>
      <c r="AK122" s="46"/>
      <c r="AL122" s="46"/>
      <c r="AM122" s="46"/>
      <c r="AN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</row>
    <row r="123" spans="1:55" s="2" customFormat="1" ht="15" customHeight="1">
      <c r="A123" s="45"/>
      <c r="B123" s="22"/>
      <c r="C123" s="42" t="s">
        <v>194</v>
      </c>
      <c r="D123" s="113"/>
      <c r="E123" s="113"/>
      <c r="F123" s="113"/>
      <c r="G123" s="37" t="s">
        <v>13</v>
      </c>
      <c r="H123" s="190">
        <f>127/SQRT(Fy/100)</f>
        <v>66.934877140230697</v>
      </c>
      <c r="I123" s="191"/>
      <c r="J123" s="191"/>
      <c r="K123" s="113"/>
      <c r="L123" s="113"/>
      <c r="M123" s="113"/>
      <c r="N123" s="113"/>
      <c r="O123" s="113"/>
      <c r="P123" s="113"/>
      <c r="Q123" s="42" t="s">
        <v>196</v>
      </c>
      <c r="R123" s="113"/>
      <c r="S123" s="113"/>
      <c r="T123" s="113"/>
      <c r="U123" s="37" t="s">
        <v>13</v>
      </c>
      <c r="V123" s="190">
        <f>222/SQRT(Fy/100)</f>
        <v>117.00427342623004</v>
      </c>
      <c r="W123" s="191"/>
      <c r="X123" s="191"/>
      <c r="AC123" s="47"/>
      <c r="AD123" s="46"/>
      <c r="AF123" s="85"/>
      <c r="AG123" s="46"/>
      <c r="AH123" s="46"/>
      <c r="AI123" s="46"/>
      <c r="AJ123" s="46"/>
      <c r="AK123" s="46"/>
      <c r="AL123" s="46"/>
      <c r="AM123" s="46"/>
      <c r="AN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</row>
    <row r="124" spans="1:55" s="2" customFormat="1" ht="15" customHeight="1">
      <c r="A124" s="45"/>
      <c r="B124" s="22"/>
      <c r="C124" s="42" t="s">
        <v>192</v>
      </c>
      <c r="D124" s="113"/>
      <c r="E124" s="113"/>
      <c r="F124" s="113"/>
      <c r="G124" s="37" t="s">
        <v>13</v>
      </c>
      <c r="H124" s="190">
        <f>T68</f>
        <v>4.2105263157894735</v>
      </c>
      <c r="I124" s="191"/>
      <c r="J124" s="191"/>
      <c r="K124" s="113"/>
      <c r="L124" s="113"/>
      <c r="M124" s="113"/>
      <c r="N124" s="113"/>
      <c r="O124" s="113"/>
      <c r="P124" s="113"/>
      <c r="Q124" s="42" t="s">
        <v>191</v>
      </c>
      <c r="R124" s="113"/>
      <c r="S124" s="113"/>
      <c r="T124" s="113"/>
      <c r="U124" s="37" t="s">
        <v>13</v>
      </c>
      <c r="V124" s="190">
        <f>T70</f>
        <v>42.833333333333336</v>
      </c>
      <c r="W124" s="191"/>
      <c r="X124" s="191"/>
      <c r="AC124" s="47"/>
      <c r="AD124" s="46"/>
      <c r="AG124" s="46"/>
      <c r="AH124" s="46"/>
      <c r="AI124" s="46"/>
      <c r="AJ124" s="46"/>
      <c r="AK124" s="46"/>
      <c r="AL124" s="46"/>
      <c r="AM124" s="46"/>
      <c r="AN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</row>
    <row r="125" spans="1:55" s="2" customFormat="1" ht="15" customHeight="1">
      <c r="A125" s="45"/>
      <c r="B125" s="22"/>
      <c r="C125" s="36" t="s">
        <v>198</v>
      </c>
      <c r="D125" s="85"/>
      <c r="E125" s="85"/>
      <c r="F125" s="85"/>
      <c r="G125" s="37" t="s">
        <v>13</v>
      </c>
      <c r="H125" s="190" t="str">
        <f>IF(Classification="Non_Compact",MIN(Mp-(Mp-Mr)*(Lamda_f-Lamda_p_f)/(Lamda_r_f-Lamda_p_f),Mp),"N.A.")</f>
        <v>N.A.</v>
      </c>
      <c r="I125" s="191"/>
      <c r="J125" s="191"/>
      <c r="K125" s="38" t="s">
        <v>14</v>
      </c>
      <c r="L125" s="85"/>
      <c r="M125" s="39" t="s">
        <v>201</v>
      </c>
      <c r="N125" s="119"/>
      <c r="O125" s="119"/>
      <c r="P125" s="119"/>
      <c r="Q125" s="119"/>
      <c r="R125" s="119"/>
      <c r="S125" s="119"/>
      <c r="T125" s="119"/>
      <c r="U125" s="119"/>
      <c r="Y125" s="38"/>
      <c r="Z125" s="119"/>
      <c r="AA125" s="37"/>
      <c r="AB125" s="115"/>
      <c r="AC125" s="47"/>
      <c r="AD125" s="46"/>
      <c r="AE125" s="85"/>
      <c r="AG125" s="46"/>
      <c r="AH125" s="46"/>
      <c r="AI125" s="46"/>
      <c r="AJ125" s="46"/>
      <c r="AK125" s="46"/>
      <c r="AL125" s="46"/>
      <c r="AM125" s="46"/>
      <c r="AN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</row>
    <row r="126" spans="1:55" s="2" customFormat="1" ht="15" customHeight="1">
      <c r="A126" s="45"/>
      <c r="B126" s="22"/>
      <c r="C126" s="36" t="s">
        <v>200</v>
      </c>
      <c r="D126" s="85"/>
      <c r="E126" s="85"/>
      <c r="F126" s="85"/>
      <c r="G126" s="37" t="s">
        <v>13</v>
      </c>
      <c r="H126" s="190" t="str">
        <f>IF(Classification="Non_Compact",MIN(Mp-(Mp-Mr)*(Lamda_w-Lamda_p_w)/(Lamda_r_w-Lamda_p_w),Mp),"N.A.")</f>
        <v>N.A.</v>
      </c>
      <c r="I126" s="191"/>
      <c r="J126" s="191"/>
      <c r="K126" s="38" t="s">
        <v>14</v>
      </c>
      <c r="L126" s="85"/>
      <c r="M126" s="39" t="s">
        <v>202</v>
      </c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38"/>
      <c r="Z126" s="119"/>
      <c r="AA126" s="37"/>
      <c r="AB126" s="115"/>
      <c r="AC126" s="47"/>
      <c r="AD126" s="46"/>
      <c r="AE126" s="85"/>
      <c r="AF126" s="85"/>
      <c r="AG126" s="46"/>
      <c r="AH126" s="46"/>
      <c r="AI126" s="46"/>
      <c r="AJ126" s="46"/>
      <c r="AK126" s="46"/>
      <c r="AL126" s="46"/>
      <c r="AM126" s="46"/>
      <c r="AN126" s="46"/>
      <c r="AP126" s="46"/>
      <c r="AQ126" s="46"/>
      <c r="AR126" s="46"/>
      <c r="AS126" s="46"/>
      <c r="AT126" s="46"/>
      <c r="AU126" s="46"/>
      <c r="AV126" s="46"/>
      <c r="AW126" s="46"/>
      <c r="AX126" s="46"/>
      <c r="AY126" s="46"/>
      <c r="AZ126" s="46"/>
      <c r="BA126" s="46"/>
      <c r="BB126" s="46"/>
      <c r="BC126" s="46"/>
    </row>
    <row r="127" spans="1:55" s="2" customFormat="1" ht="15" customHeight="1">
      <c r="A127" s="45"/>
      <c r="B127" s="22"/>
      <c r="C127" s="36" t="s">
        <v>717</v>
      </c>
      <c r="D127" s="85"/>
      <c r="E127" s="85"/>
      <c r="F127" s="85"/>
      <c r="G127" s="37" t="s">
        <v>13</v>
      </c>
      <c r="H127" s="190" t="str">
        <f>IF(Classification="Non_Compact",IF(Lb&lt;Lp,MIN(H125,H126,Mp),IF(Lb&lt;Lr,MIN((Mp-(Mp-Mr)*(Lb-Lp)/(Lr-Lp))*Cb,Mp),MIN(Cb*Mcr,Mp))),"N.A.")</f>
        <v>N.A.</v>
      </c>
      <c r="I127" s="191"/>
      <c r="J127" s="191"/>
      <c r="K127" s="38" t="s">
        <v>14</v>
      </c>
      <c r="L127" s="85"/>
      <c r="M127" s="39" t="s">
        <v>718</v>
      </c>
      <c r="N127" s="178"/>
      <c r="O127" s="178"/>
      <c r="P127" s="178"/>
      <c r="Q127" s="178"/>
      <c r="R127" s="178"/>
      <c r="S127" s="178"/>
      <c r="T127" s="178"/>
      <c r="U127" s="178"/>
      <c r="W127" s="119"/>
      <c r="X127" s="119"/>
      <c r="Y127" s="38"/>
      <c r="Z127" s="119"/>
      <c r="AA127" s="37"/>
      <c r="AB127" s="115"/>
      <c r="AC127" s="47"/>
      <c r="AD127" s="46"/>
      <c r="AE127" s="85">
        <f>IF(M140="(PASS)",0,1)</f>
        <v>1</v>
      </c>
      <c r="AF127" s="85"/>
      <c r="AG127" s="46"/>
      <c r="AH127" s="46"/>
      <c r="AI127" s="46"/>
      <c r="AJ127" s="46"/>
      <c r="AK127" s="46"/>
      <c r="AL127" s="46"/>
      <c r="AM127" s="46"/>
      <c r="AN127" s="46"/>
      <c r="AP127" s="46"/>
      <c r="AQ127" s="46"/>
      <c r="AR127" s="46"/>
      <c r="AS127" s="46"/>
      <c r="AT127" s="46"/>
      <c r="AU127" s="46"/>
      <c r="AV127" s="46"/>
      <c r="AW127" s="46"/>
      <c r="AX127" s="46"/>
      <c r="AY127" s="46"/>
      <c r="AZ127" s="46"/>
      <c r="BA127" s="46"/>
      <c r="BB127" s="46"/>
      <c r="BC127" s="46"/>
    </row>
    <row r="128" spans="1:55" s="2" customFormat="1" ht="15" customHeight="1">
      <c r="A128" s="45"/>
      <c r="B128" s="22"/>
      <c r="C128" s="36" t="s">
        <v>204</v>
      </c>
      <c r="D128" s="85"/>
      <c r="E128" s="85"/>
      <c r="F128" s="85"/>
      <c r="G128" s="37" t="s">
        <v>13</v>
      </c>
      <c r="H128" s="190" t="str">
        <f>IF(Classification="Non_Compact",MIN(H125:J127),"N.A.")</f>
        <v>N.A.</v>
      </c>
      <c r="I128" s="191"/>
      <c r="J128" s="191"/>
      <c r="K128" s="38" t="s">
        <v>14</v>
      </c>
      <c r="L128" s="85"/>
      <c r="M128" s="39" t="s">
        <v>199</v>
      </c>
      <c r="N128" s="119"/>
      <c r="O128" s="119"/>
      <c r="P128" s="119"/>
      <c r="Q128" s="119"/>
      <c r="R128" s="119"/>
      <c r="S128" s="119"/>
      <c r="T128" s="119"/>
      <c r="U128" s="119"/>
      <c r="V128" s="119"/>
      <c r="AC128" s="47"/>
      <c r="AD128" s="46"/>
      <c r="AG128" s="46"/>
      <c r="AH128" s="46"/>
      <c r="AI128" s="46"/>
      <c r="AJ128" s="46"/>
      <c r="AK128" s="46"/>
      <c r="AL128" s="46"/>
      <c r="AM128" s="46"/>
      <c r="AN128" s="46"/>
      <c r="AP128" s="46"/>
      <c r="AQ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</row>
    <row r="129" spans="1:55" s="2" customFormat="1" ht="15" customHeight="1">
      <c r="A129" s="45"/>
      <c r="B129" s="22"/>
      <c r="C129" s="125" t="s">
        <v>253</v>
      </c>
      <c r="AC129" s="47"/>
      <c r="AD129" s="46"/>
      <c r="AE129" s="85"/>
      <c r="AF129" s="85"/>
      <c r="AG129" s="46"/>
      <c r="AH129" s="46"/>
      <c r="AI129" s="46"/>
      <c r="AJ129" s="46"/>
      <c r="AK129" s="46"/>
      <c r="AL129" s="46"/>
      <c r="AM129" s="46"/>
      <c r="AN129" s="46"/>
      <c r="AP129" s="46"/>
      <c r="AQ129" s="46"/>
      <c r="AR129" s="46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</row>
    <row r="130" spans="1:55" s="2" customFormat="1" ht="15" customHeight="1">
      <c r="A130" s="45"/>
      <c r="B130" s="22"/>
      <c r="C130" s="36" t="s">
        <v>206</v>
      </c>
      <c r="G130" s="37" t="s">
        <v>13</v>
      </c>
      <c r="H130" s="190">
        <f>MIN(Hw*tw/Bft/tft,10)</f>
        <v>1.6133971291866029</v>
      </c>
      <c r="I130" s="191"/>
      <c r="J130" s="191"/>
      <c r="Q130" s="42" t="s">
        <v>734</v>
      </c>
      <c r="R130" s="183"/>
      <c r="S130" s="183"/>
      <c r="T130" s="183"/>
      <c r="U130" s="37" t="s">
        <v>13</v>
      </c>
      <c r="V130" s="190">
        <f>Lb/Rt</f>
        <v>99.682259727721117</v>
      </c>
      <c r="W130" s="191"/>
      <c r="X130" s="191"/>
      <c r="AC130" s="47"/>
      <c r="AD130" s="46"/>
      <c r="AE130" s="85"/>
      <c r="AF130" s="85"/>
      <c r="AG130" s="46"/>
      <c r="AH130" s="46"/>
      <c r="AI130" s="46"/>
      <c r="AJ130" s="46"/>
      <c r="AK130" s="46"/>
      <c r="AL130" s="46"/>
      <c r="AM130" s="46"/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</row>
    <row r="131" spans="1:55" s="2" customFormat="1" ht="15" customHeight="1">
      <c r="A131" s="45"/>
      <c r="B131" s="22"/>
      <c r="C131" s="126" t="s">
        <v>209</v>
      </c>
      <c r="AC131" s="47"/>
      <c r="AD131" s="46"/>
      <c r="AE131" s="85"/>
      <c r="AF131" s="85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</row>
    <row r="132" spans="1:55" s="2" customFormat="1" ht="15" customHeight="1">
      <c r="A132" s="45"/>
      <c r="B132" s="22"/>
      <c r="C132" s="36" t="s">
        <v>211</v>
      </c>
      <c r="D132" s="120"/>
      <c r="E132" s="120"/>
      <c r="F132" s="120"/>
      <c r="G132" s="37" t="s">
        <v>13</v>
      </c>
      <c r="H132" s="190">
        <v>1</v>
      </c>
      <c r="I132" s="191"/>
      <c r="J132" s="191"/>
      <c r="K132" s="38"/>
      <c r="L132" s="120"/>
      <c r="M132" s="120"/>
      <c r="N132" s="120"/>
      <c r="O132" s="120"/>
      <c r="P132" s="120"/>
      <c r="Q132" s="36" t="s">
        <v>210</v>
      </c>
      <c r="R132" s="120"/>
      <c r="S132" s="120"/>
      <c r="T132" s="120"/>
      <c r="U132" s="37" t="s">
        <v>13</v>
      </c>
      <c r="V132" s="190">
        <f>MIN((12+ar*(3*m-m^3))/(12+2*ar),1)</f>
        <v>1</v>
      </c>
      <c r="W132" s="191"/>
      <c r="X132" s="191"/>
      <c r="Y132" s="38"/>
      <c r="AC132" s="47"/>
      <c r="AD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</row>
    <row r="133" spans="1:55" s="2" customFormat="1" ht="15" customHeight="1">
      <c r="A133" s="45"/>
      <c r="B133" s="22"/>
      <c r="C133" s="36" t="s">
        <v>212</v>
      </c>
      <c r="D133" s="85"/>
      <c r="E133" s="85"/>
      <c r="F133" s="85"/>
      <c r="G133" s="37" t="s">
        <v>13</v>
      </c>
      <c r="H133" s="190">
        <f>Sxxtop*Re*Fy/1000000</f>
        <v>1104.8399999999999</v>
      </c>
      <c r="I133" s="191"/>
      <c r="J133" s="191"/>
      <c r="K133" s="38" t="s">
        <v>14</v>
      </c>
      <c r="L133" s="85"/>
      <c r="M133" s="39" t="s">
        <v>213</v>
      </c>
      <c r="N133" s="120"/>
      <c r="O133" s="120"/>
      <c r="P133" s="120"/>
      <c r="Q133" s="120"/>
      <c r="R133" s="120"/>
      <c r="S133" s="120"/>
      <c r="T133" s="120"/>
      <c r="U133" s="120"/>
      <c r="V133" s="124"/>
      <c r="W133" s="124"/>
      <c r="X133" s="124"/>
      <c r="Y133" s="124"/>
      <c r="Z133" s="124"/>
      <c r="AA133" s="124"/>
      <c r="AB133" s="124"/>
      <c r="AC133" s="47"/>
      <c r="AD133" s="46"/>
      <c r="AE133" s="85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</row>
    <row r="134" spans="1:55" s="2" customFormat="1" ht="15" customHeight="1">
      <c r="A134" s="45"/>
      <c r="B134" s="22"/>
      <c r="C134" s="126" t="s">
        <v>214</v>
      </c>
      <c r="AC134" s="47"/>
      <c r="AE134" s="85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</row>
    <row r="135" spans="1:55" s="2" customFormat="1" ht="15" customHeight="1">
      <c r="A135" s="45"/>
      <c r="B135" s="22"/>
      <c r="C135" s="42" t="s">
        <v>215</v>
      </c>
      <c r="D135" s="120"/>
      <c r="E135" s="120"/>
      <c r="F135" s="120"/>
      <c r="G135" s="37" t="s">
        <v>13</v>
      </c>
      <c r="H135" s="190">
        <f>16.9/SQRT(Fy/100)</f>
        <v>8.9070820761409344</v>
      </c>
      <c r="I135" s="191"/>
      <c r="J135" s="191"/>
      <c r="K135" s="120"/>
      <c r="L135" s="120"/>
      <c r="M135" s="120"/>
      <c r="N135" s="120"/>
      <c r="O135" s="120"/>
      <c r="P135" s="120"/>
      <c r="Q135" s="42" t="s">
        <v>216</v>
      </c>
      <c r="R135" s="120"/>
      <c r="S135" s="120"/>
      <c r="T135" s="120"/>
      <c r="U135" s="37" t="s">
        <v>13</v>
      </c>
      <c r="V135" s="190">
        <f>33/SQRT(Fy/100)</f>
        <v>17.392527130926087</v>
      </c>
      <c r="W135" s="191"/>
      <c r="X135" s="191"/>
      <c r="AC135" s="47"/>
      <c r="AD135" s="1"/>
      <c r="AE135" s="1"/>
      <c r="AF135" s="1"/>
      <c r="AG135" s="1"/>
      <c r="AH135" s="1"/>
      <c r="AI135" s="1"/>
      <c r="AJ135" s="1"/>
      <c r="AK135" s="1"/>
      <c r="AL135" s="1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  <c r="BC135" s="46"/>
    </row>
    <row r="136" spans="1:55" s="2" customFormat="1" ht="15" customHeight="1">
      <c r="A136" s="45"/>
      <c r="B136" s="22"/>
      <c r="C136" s="36" t="s">
        <v>207</v>
      </c>
      <c r="D136" s="119"/>
      <c r="E136" s="119"/>
      <c r="F136" s="119"/>
      <c r="G136" s="37" t="s">
        <v>13</v>
      </c>
      <c r="H136" s="190">
        <v>81700</v>
      </c>
      <c r="I136" s="191"/>
      <c r="J136" s="191"/>
      <c r="K136" s="38" t="s">
        <v>24</v>
      </c>
      <c r="Q136" s="36" t="s">
        <v>208</v>
      </c>
      <c r="R136" s="119"/>
      <c r="S136" s="119"/>
      <c r="T136" s="119"/>
      <c r="U136" s="37" t="s">
        <v>13</v>
      </c>
      <c r="V136" s="190">
        <f>IF(Lamda_f&lt;=Lamda_p_f,Fy,IF(Lamda_f&lt;Lamda_r_f,MIN(Cb*Fy*(1-0.4*(Lamda_f-Lamda_p_f)/(Lamda_r_f-Lamda_p_f)),Fy),CPG_f/Lamda_f^2))</f>
        <v>360</v>
      </c>
      <c r="W136" s="191"/>
      <c r="X136" s="191"/>
      <c r="Y136" s="38" t="s">
        <v>24</v>
      </c>
      <c r="AC136" s="47"/>
      <c r="AD136" s="1"/>
      <c r="AE136" s="143"/>
      <c r="AF136" s="142"/>
      <c r="AG136" s="142"/>
      <c r="AH136" s="1"/>
      <c r="AI136" s="1"/>
      <c r="AJ136" s="1"/>
      <c r="AK136" s="1"/>
      <c r="AL136" s="1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  <c r="BC136" s="46"/>
    </row>
    <row r="137" spans="1:55" s="2" customFormat="1" ht="15" customHeight="1">
      <c r="A137" s="45"/>
      <c r="B137" s="22"/>
      <c r="C137" s="36" t="s">
        <v>211</v>
      </c>
      <c r="D137" s="120"/>
      <c r="E137" s="120"/>
      <c r="F137" s="120"/>
      <c r="G137" s="37" t="s">
        <v>13</v>
      </c>
      <c r="H137" s="190">
        <f>Fy/Fcr_f</f>
        <v>1</v>
      </c>
      <c r="I137" s="191"/>
      <c r="J137" s="191"/>
      <c r="Q137" s="36" t="s">
        <v>217</v>
      </c>
      <c r="R137" s="120"/>
      <c r="S137" s="120"/>
      <c r="T137" s="120"/>
      <c r="U137" s="37" t="s">
        <v>13</v>
      </c>
      <c r="V137" s="190">
        <f>MIN(1-ar/(1200+300*ar)*(2*H81/tw-222/SQRT(Fy/100)),1)</f>
        <v>1</v>
      </c>
      <c r="W137" s="191"/>
      <c r="X137" s="191"/>
      <c r="Y137" s="38"/>
      <c r="AC137" s="47"/>
      <c r="AD137" s="1"/>
      <c r="AE137" s="1"/>
      <c r="AF137" s="1"/>
      <c r="AG137" s="1"/>
      <c r="AH137" s="1"/>
      <c r="AI137" s="1"/>
      <c r="AJ137" s="1"/>
      <c r="AK137" s="1"/>
      <c r="AL137" s="1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  <c r="BC137" s="46"/>
    </row>
    <row r="138" spans="1:55" s="2" customFormat="1" ht="15" customHeight="1">
      <c r="A138" s="45"/>
      <c r="B138" s="22"/>
      <c r="C138" s="36" t="s">
        <v>212</v>
      </c>
      <c r="D138" s="85"/>
      <c r="E138" s="85"/>
      <c r="F138" s="85"/>
      <c r="G138" s="37" t="s">
        <v>13</v>
      </c>
      <c r="H138" s="190">
        <f>IF(Lamda_f&lt;=30,Sxxtop*Re*Fcr_f*Rpg_f/1000000,"ERROR")</f>
        <v>1104.8399999999999</v>
      </c>
      <c r="I138" s="191"/>
      <c r="J138" s="191"/>
      <c r="K138" s="38" t="s">
        <v>14</v>
      </c>
      <c r="L138" s="85"/>
      <c r="M138" s="39" t="s">
        <v>213</v>
      </c>
      <c r="N138" s="120"/>
      <c r="O138" s="120"/>
      <c r="P138" s="120"/>
      <c r="Q138" s="120"/>
      <c r="R138" s="120"/>
      <c r="S138" s="120"/>
      <c r="U138" s="206" t="str">
        <f>IF(H138="ERROR","Flange Slenderness &gt; 30.","" )</f>
        <v/>
      </c>
      <c r="V138" s="206"/>
      <c r="W138" s="206"/>
      <c r="X138" s="206"/>
      <c r="Y138" s="206"/>
      <c r="Z138" s="206"/>
      <c r="AA138" s="206"/>
      <c r="AB138" s="206"/>
      <c r="AC138" s="47"/>
      <c r="AD138" s="1"/>
      <c r="AE138" s="1"/>
      <c r="AF138" s="1"/>
      <c r="AG138" s="1"/>
      <c r="AH138" s="1"/>
      <c r="AI138" s="1"/>
      <c r="AJ138" s="1"/>
      <c r="AK138" s="1"/>
      <c r="AL138" s="1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</row>
    <row r="139" spans="1:55" s="2" customFormat="1" ht="15" customHeight="1">
      <c r="A139" s="45"/>
      <c r="B139" s="22"/>
      <c r="C139" s="126" t="s">
        <v>218</v>
      </c>
      <c r="D139" s="120"/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47"/>
      <c r="AD139" s="1"/>
      <c r="AE139" s="1"/>
      <c r="AF139" s="1"/>
      <c r="AG139" s="1"/>
      <c r="AH139" s="1"/>
      <c r="AI139" s="1"/>
      <c r="AJ139" s="1"/>
      <c r="AK139" s="1"/>
      <c r="AL139" s="1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  <c r="BC139" s="46"/>
    </row>
    <row r="140" spans="1:55" s="2" customFormat="1" ht="15" customHeight="1">
      <c r="A140" s="45"/>
      <c r="B140" s="22"/>
      <c r="C140" s="42" t="s">
        <v>219</v>
      </c>
      <c r="D140" s="120"/>
      <c r="E140" s="120"/>
      <c r="F140" s="120"/>
      <c r="G140" s="37" t="s">
        <v>13</v>
      </c>
      <c r="H140" s="190">
        <f>80/SQRT(Fy/100)</f>
        <v>42.16370213557839</v>
      </c>
      <c r="I140" s="191"/>
      <c r="J140" s="191"/>
      <c r="K140" s="120"/>
      <c r="L140" s="120"/>
      <c r="M140" s="120"/>
      <c r="N140" s="120"/>
      <c r="O140" s="120"/>
      <c r="P140" s="120"/>
      <c r="Q140" s="42" t="s">
        <v>221</v>
      </c>
      <c r="R140" s="120"/>
      <c r="S140" s="120"/>
      <c r="T140" s="120"/>
      <c r="U140" s="37" t="s">
        <v>13</v>
      </c>
      <c r="V140" s="190">
        <f>200/SQRT(Fy/100)</f>
        <v>105.40925533894598</v>
      </c>
      <c r="W140" s="191"/>
      <c r="X140" s="191"/>
      <c r="Y140" s="120"/>
      <c r="Z140" s="120"/>
      <c r="AA140" s="120"/>
      <c r="AB140" s="120"/>
      <c r="AC140" s="47"/>
      <c r="AD140" s="1"/>
      <c r="AE140" s="1"/>
      <c r="AF140" s="1"/>
      <c r="AG140" s="1"/>
      <c r="AH140" s="1"/>
      <c r="AI140" s="1"/>
      <c r="AJ140" s="1"/>
      <c r="AK140" s="1"/>
      <c r="AL140" s="1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  <c r="BC140" s="46"/>
    </row>
    <row r="141" spans="1:55" s="2" customFormat="1" ht="15" customHeight="1">
      <c r="A141" s="45"/>
      <c r="B141" s="22"/>
      <c r="C141" s="36" t="s">
        <v>220</v>
      </c>
      <c r="D141" s="120"/>
      <c r="E141" s="120"/>
      <c r="F141" s="120"/>
      <c r="G141" s="37" t="s">
        <v>13</v>
      </c>
      <c r="H141" s="190">
        <f>Cb*2400000</f>
        <v>2400000</v>
      </c>
      <c r="I141" s="191"/>
      <c r="J141" s="191"/>
      <c r="K141" s="38" t="s">
        <v>24</v>
      </c>
      <c r="L141" s="120"/>
      <c r="M141" s="120"/>
      <c r="N141" s="120"/>
      <c r="O141" s="120"/>
      <c r="P141" s="120"/>
      <c r="Q141" s="36" t="s">
        <v>222</v>
      </c>
      <c r="R141" s="120"/>
      <c r="S141" s="120"/>
      <c r="T141" s="120"/>
      <c r="U141" s="37" t="s">
        <v>13</v>
      </c>
      <c r="V141" s="190">
        <f>IF(Lamda_LTB&lt;=Lamda_p_f_LTB,Fy,IF(Lamda_LTB&lt;Lamda_r_f_LTB,MIN(Cb*Fy*(1-0.4*(Lamda_LTB-Lamda_p_f_LTB)/(Lamda_r_f_LTB-Lamda_p_f_LTB)),Fy),CPG_LTB/Lamda_LTB^2))</f>
        <v>229.03945220250631</v>
      </c>
      <c r="W141" s="191"/>
      <c r="X141" s="191"/>
      <c r="Y141" s="38" t="s">
        <v>24</v>
      </c>
      <c r="Z141" s="120"/>
      <c r="AA141" s="120"/>
      <c r="AB141" s="120"/>
      <c r="AC141" s="47"/>
      <c r="AD141" s="1"/>
      <c r="AE141" s="1"/>
      <c r="AF141" s="1"/>
      <c r="AG141" s="1"/>
      <c r="AH141" s="1"/>
      <c r="AI141" s="1"/>
      <c r="AJ141" s="1"/>
      <c r="AK141" s="1"/>
      <c r="AL141" s="1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</row>
    <row r="142" spans="1:55" s="2" customFormat="1" ht="15" customHeight="1">
      <c r="A142" s="45"/>
      <c r="B142" s="22"/>
      <c r="C142" s="36" t="s">
        <v>211</v>
      </c>
      <c r="D142" s="120"/>
      <c r="E142" s="120"/>
      <c r="F142" s="120"/>
      <c r="G142" s="37" t="s">
        <v>13</v>
      </c>
      <c r="H142" s="190">
        <f>Fy/Fcr_LTB</f>
        <v>1.5717816146438575</v>
      </c>
      <c r="I142" s="191"/>
      <c r="J142" s="191"/>
      <c r="K142" s="120"/>
      <c r="L142" s="120"/>
      <c r="M142" s="120"/>
      <c r="N142" s="120"/>
      <c r="O142" s="120"/>
      <c r="P142" s="120"/>
      <c r="Q142" s="36" t="s">
        <v>217</v>
      </c>
      <c r="R142" s="120"/>
      <c r="S142" s="120"/>
      <c r="T142" s="120"/>
      <c r="U142" s="37" t="s">
        <v>13</v>
      </c>
      <c r="V142" s="190">
        <f>MIN(1-ar/(1200+300*ar)*(2*H81/tw-222/SQRT(Fy/100)),1)</f>
        <v>1</v>
      </c>
      <c r="W142" s="191"/>
      <c r="X142" s="191"/>
      <c r="Y142" s="38"/>
      <c r="Z142" s="120"/>
      <c r="AA142" s="120"/>
      <c r="AB142" s="120"/>
      <c r="AC142" s="47"/>
      <c r="AD142" s="1"/>
      <c r="AE142" s="1"/>
      <c r="AF142" s="1"/>
      <c r="AG142" s="1"/>
      <c r="AH142" s="1"/>
      <c r="AI142" s="1"/>
      <c r="AJ142" s="1"/>
      <c r="AK142" s="1"/>
      <c r="AL142" s="1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</row>
    <row r="143" spans="1:55" s="2" customFormat="1" ht="15" customHeight="1">
      <c r="A143" s="45"/>
      <c r="B143" s="22"/>
      <c r="C143" s="36" t="s">
        <v>212</v>
      </c>
      <c r="D143" s="85"/>
      <c r="E143" s="85"/>
      <c r="F143" s="85"/>
      <c r="G143" s="37" t="s">
        <v>13</v>
      </c>
      <c r="H143" s="190">
        <f>Sxxtop*Re*Fcr_LTB*Rpg_LTB/1000000</f>
        <v>702.92207880949184</v>
      </c>
      <c r="I143" s="191"/>
      <c r="J143" s="191"/>
      <c r="K143" s="38" t="s">
        <v>14</v>
      </c>
      <c r="L143" s="85"/>
      <c r="M143" s="39" t="s">
        <v>213</v>
      </c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47"/>
      <c r="AD143" s="1"/>
      <c r="AE143" s="1"/>
      <c r="AF143" s="1"/>
      <c r="AG143" s="1"/>
      <c r="AH143" s="1"/>
      <c r="AI143" s="1"/>
      <c r="AJ143" s="1"/>
      <c r="AK143" s="1"/>
      <c r="AL143" s="1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</row>
    <row r="144" spans="1:55" s="2" customFormat="1" ht="15" customHeight="1">
      <c r="A144" s="45"/>
      <c r="B144" s="22"/>
      <c r="C144" s="36" t="s">
        <v>223</v>
      </c>
      <c r="D144" s="85"/>
      <c r="E144" s="85"/>
      <c r="F144" s="85"/>
      <c r="G144" s="37" t="s">
        <v>13</v>
      </c>
      <c r="H144" s="190" t="str">
        <f>IF(Lamda_f&lt;=30,IF(Classification="Slender",MIN(H133,H138,H143),"N.A."),"ERROR")</f>
        <v>N.A.</v>
      </c>
      <c r="I144" s="191"/>
      <c r="J144" s="191"/>
      <c r="K144" s="38" t="s">
        <v>14</v>
      </c>
      <c r="L144" s="85"/>
      <c r="M144" s="39" t="s">
        <v>205</v>
      </c>
      <c r="N144" s="109"/>
      <c r="P144" s="109"/>
      <c r="Q144" s="110"/>
      <c r="R144" s="110"/>
      <c r="S144" s="110"/>
      <c r="T144" s="110"/>
      <c r="U144" s="110"/>
      <c r="Y144" s="38"/>
      <c r="Z144" s="113"/>
      <c r="AA144" s="37"/>
      <c r="AB144" s="115"/>
      <c r="AC144" s="47"/>
      <c r="AD144" s="1"/>
      <c r="AE144" s="1"/>
      <c r="AF144" s="1"/>
      <c r="AG144" s="1"/>
      <c r="AH144" s="1"/>
      <c r="AI144" s="1"/>
      <c r="AJ144" s="1"/>
      <c r="AK144" s="1"/>
      <c r="AL144" s="1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</row>
    <row r="145" spans="1:55" s="2" customFormat="1" ht="15" customHeight="1">
      <c r="A145" s="45"/>
      <c r="B145" s="22"/>
      <c r="C145" s="131" t="s">
        <v>226</v>
      </c>
      <c r="D145" s="127"/>
      <c r="E145" s="128"/>
      <c r="F145" s="132"/>
      <c r="G145" s="133" t="s">
        <v>13</v>
      </c>
      <c r="H145" s="186">
        <v>0.85</v>
      </c>
      <c r="I145" s="186"/>
      <c r="J145" s="186"/>
      <c r="K145" s="127"/>
      <c r="L145" s="128"/>
      <c r="M145" s="128"/>
      <c r="N145" s="128"/>
      <c r="O145" s="128"/>
      <c r="P145" s="128"/>
      <c r="Q145" s="134" t="s">
        <v>232</v>
      </c>
      <c r="R145" s="127"/>
      <c r="S145" s="128"/>
      <c r="T145" s="128"/>
      <c r="U145" s="133" t="s">
        <v>13</v>
      </c>
      <c r="V145" s="187">
        <f>IF(OR(H138&lt;&gt;"ERROR",H144&lt;&gt;"ERROR"),phib*SUM(H120,H128,H144),"ERROR")</f>
        <v>703.18519371174125</v>
      </c>
      <c r="W145" s="187"/>
      <c r="X145" s="187"/>
      <c r="Y145" s="135" t="s">
        <v>14</v>
      </c>
      <c r="Z145" s="127"/>
      <c r="AA145" s="127"/>
      <c r="AB145" s="129"/>
      <c r="AC145" s="47"/>
      <c r="AD145" s="1"/>
      <c r="AE145" s="1"/>
      <c r="AF145" s="1"/>
      <c r="AG145" s="1"/>
      <c r="AH145" s="1"/>
      <c r="AI145" s="1"/>
      <c r="AJ145" s="1"/>
      <c r="AK145" s="1"/>
      <c r="AL145" s="1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</row>
    <row r="146" spans="1:55" s="2" customFormat="1" ht="15" customHeight="1" thickBot="1">
      <c r="A146" s="45"/>
      <c r="B146" s="30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2" t="s">
        <v>146</v>
      </c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1:55" ht="15" customHeight="1">
      <c r="A147" s="80"/>
      <c r="B147" s="81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3"/>
      <c r="AA147" s="83"/>
      <c r="AB147" s="83"/>
      <c r="AC147" s="84"/>
      <c r="AD147" s="85"/>
      <c r="AE147" s="85"/>
      <c r="AF147" s="85"/>
      <c r="AG147" s="85"/>
      <c r="AH147" s="85"/>
      <c r="AI147" s="85"/>
      <c r="AJ147" s="85"/>
    </row>
    <row r="148" spans="1:55" ht="15" customHeight="1">
      <c r="A148" s="86"/>
      <c r="B148" s="87"/>
      <c r="C148" s="185" t="s">
        <v>727</v>
      </c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185"/>
      <c r="Q148" s="185"/>
      <c r="R148" s="185"/>
      <c r="S148" s="185"/>
      <c r="T148" s="185"/>
      <c r="U148" s="185"/>
      <c r="V148" s="185"/>
      <c r="W148" s="185"/>
      <c r="X148" s="185"/>
      <c r="Y148" s="185"/>
      <c r="Z148" s="185"/>
      <c r="AA148" s="185"/>
      <c r="AB148" s="185"/>
      <c r="AC148" s="88"/>
      <c r="AD148" s="85"/>
      <c r="AE148" s="85"/>
      <c r="AF148" s="85"/>
      <c r="AG148" s="85"/>
      <c r="AH148" s="85"/>
      <c r="AI148" s="85"/>
      <c r="AJ148" s="85"/>
    </row>
    <row r="149" spans="1:55" ht="15" customHeight="1">
      <c r="A149" s="86"/>
      <c r="B149" s="87"/>
      <c r="C149" s="125" t="s">
        <v>239</v>
      </c>
      <c r="AC149" s="88"/>
      <c r="AD149" s="85"/>
      <c r="AE149" s="85"/>
      <c r="AF149" s="85"/>
      <c r="AG149" s="85"/>
      <c r="AH149" s="85"/>
      <c r="AI149" s="85"/>
      <c r="AJ149" s="85"/>
    </row>
    <row r="150" spans="1:55" ht="15" customHeight="1">
      <c r="A150" s="86"/>
      <c r="B150" s="89"/>
      <c r="C150" s="36" t="s">
        <v>185</v>
      </c>
      <c r="D150" s="85"/>
      <c r="E150" s="103"/>
      <c r="F150" s="85"/>
      <c r="G150" s="37" t="s">
        <v>13</v>
      </c>
      <c r="H150" s="188">
        <f>MIN(Fy*Zyy,1.5*Fy*Syytop)/1000000</f>
        <v>166.32</v>
      </c>
      <c r="I150" s="188"/>
      <c r="J150" s="188"/>
      <c r="K150" s="38" t="s">
        <v>14</v>
      </c>
      <c r="L150" s="120"/>
      <c r="M150" s="39" t="s">
        <v>730</v>
      </c>
      <c r="N150" s="120"/>
      <c r="O150" s="120"/>
      <c r="P150" s="36"/>
      <c r="AC150" s="90"/>
      <c r="AD150" s="85"/>
      <c r="AF150" s="85"/>
      <c r="AG150" s="85"/>
      <c r="AH150" s="85"/>
      <c r="AI150" s="85"/>
      <c r="AJ150" s="85"/>
    </row>
    <row r="151" spans="1:55" ht="15" customHeight="1">
      <c r="A151" s="86"/>
      <c r="B151" s="89"/>
      <c r="C151" s="38" t="s">
        <v>184</v>
      </c>
      <c r="D151" s="85"/>
      <c r="E151" s="120"/>
      <c r="F151" s="120"/>
      <c r="G151" s="37" t="s">
        <v>13</v>
      </c>
      <c r="H151" s="188">
        <f>0.75*Fy</f>
        <v>270</v>
      </c>
      <c r="I151" s="188"/>
      <c r="J151" s="188"/>
      <c r="K151" s="38" t="s">
        <v>24</v>
      </c>
      <c r="AC151" s="90"/>
      <c r="AD151" s="85"/>
      <c r="AF151" s="85"/>
      <c r="AG151" s="85"/>
      <c r="AH151" s="85"/>
      <c r="AI151" s="85"/>
      <c r="AJ151" s="85"/>
    </row>
    <row r="152" spans="1:55" ht="15" customHeight="1">
      <c r="A152" s="86"/>
      <c r="B152" s="92"/>
      <c r="C152" s="36" t="s">
        <v>732</v>
      </c>
      <c r="D152" s="85"/>
      <c r="E152" s="85"/>
      <c r="F152" s="85"/>
      <c r="G152" s="37" t="s">
        <v>13</v>
      </c>
      <c r="H152" s="188">
        <f>IF(Lamda_f&gt;Lamda_p_f,Mp_y-(Mp_y-H151*Syytop/1000000)*(Lamda_f-Lamda_p_f)/(Lamda_r_f-Lamda_p_f),Mp_y)</f>
        <v>166.32</v>
      </c>
      <c r="I152" s="188"/>
      <c r="J152" s="188"/>
      <c r="K152" s="38" t="s">
        <v>14</v>
      </c>
      <c r="L152" s="85"/>
      <c r="M152" s="39" t="s">
        <v>731</v>
      </c>
      <c r="N152" s="120"/>
      <c r="O152" s="120"/>
      <c r="P152" s="120"/>
      <c r="Q152" s="120"/>
      <c r="R152" s="120"/>
      <c r="AC152" s="90"/>
      <c r="AD152" s="85"/>
      <c r="AF152" s="85"/>
      <c r="AG152" s="85"/>
      <c r="AH152" s="85"/>
      <c r="AI152" s="85"/>
      <c r="AJ152" s="85"/>
    </row>
    <row r="153" spans="1:55" ht="15" customHeight="1">
      <c r="A153" s="86"/>
      <c r="B153" s="92"/>
      <c r="C153" s="36" t="s">
        <v>212</v>
      </c>
      <c r="D153" s="85"/>
      <c r="E153" s="85"/>
      <c r="F153" s="85"/>
      <c r="G153" s="37" t="s">
        <v>13</v>
      </c>
      <c r="H153" s="188">
        <f>81700*Syytop/(Lamda_f)^2/1000000</f>
        <v>1419.3843125000003</v>
      </c>
      <c r="I153" s="188"/>
      <c r="J153" s="188"/>
      <c r="K153" s="38" t="s">
        <v>14</v>
      </c>
      <c r="L153" s="85"/>
      <c r="M153" s="39" t="s">
        <v>736</v>
      </c>
      <c r="N153" s="183"/>
      <c r="O153" s="183"/>
      <c r="P153" s="183"/>
      <c r="Q153" s="183"/>
      <c r="R153" s="183"/>
      <c r="S153" s="184"/>
      <c r="T153" s="184"/>
      <c r="U153" s="184"/>
      <c r="AC153" s="90"/>
      <c r="AF153" s="85"/>
      <c r="AG153" s="85"/>
      <c r="AH153" s="85"/>
      <c r="AI153" s="85"/>
      <c r="AJ153" s="85"/>
    </row>
    <row r="154" spans="1:55" ht="15" customHeight="1">
      <c r="A154" s="86"/>
      <c r="B154" s="92"/>
      <c r="C154" s="36" t="s">
        <v>719</v>
      </c>
      <c r="D154" s="85"/>
      <c r="E154" s="85"/>
      <c r="F154" s="85"/>
      <c r="G154" s="37" t="s">
        <v>13</v>
      </c>
      <c r="H154" s="190">
        <f>IF(Classification="Compact",Mp_y,IF(Classification="Non_Compact",Mcr_y,M_sy))</f>
        <v>166.32</v>
      </c>
      <c r="I154" s="191"/>
      <c r="J154" s="191"/>
      <c r="K154" s="38" t="s">
        <v>14</v>
      </c>
      <c r="L154" s="85"/>
      <c r="M154" s="39"/>
      <c r="N154" s="178"/>
      <c r="O154" s="178"/>
      <c r="P154" s="178"/>
      <c r="Q154" s="178"/>
      <c r="R154" s="178"/>
      <c r="AC154" s="90"/>
      <c r="AF154" s="85"/>
      <c r="AG154" s="85"/>
      <c r="AH154" s="85"/>
      <c r="AI154" s="85"/>
      <c r="AJ154" s="85"/>
    </row>
    <row r="155" spans="1:55" ht="15" customHeight="1">
      <c r="A155" s="86"/>
      <c r="B155" s="92"/>
      <c r="M155" s="39"/>
      <c r="N155" s="120"/>
      <c r="O155" s="120"/>
      <c r="P155" s="120"/>
      <c r="Q155" s="120"/>
      <c r="R155" s="120"/>
      <c r="S155" s="120"/>
      <c r="T155" s="120"/>
      <c r="U155" s="120"/>
      <c r="V155" s="85"/>
      <c r="W155" s="85"/>
      <c r="X155" s="85"/>
      <c r="Y155" s="85"/>
      <c r="Z155" s="85"/>
      <c r="AA155" s="85"/>
      <c r="AB155" s="85"/>
      <c r="AC155" s="90"/>
      <c r="AF155" s="85"/>
      <c r="AG155" s="85"/>
      <c r="AH155" s="85"/>
      <c r="AI155" s="85"/>
      <c r="AJ155" s="85"/>
    </row>
    <row r="156" spans="1:55" ht="15" customHeight="1">
      <c r="A156" s="86"/>
      <c r="B156" s="92"/>
      <c r="C156" s="131" t="s">
        <v>226</v>
      </c>
      <c r="D156" s="127"/>
      <c r="E156" s="128"/>
      <c r="F156" s="132"/>
      <c r="G156" s="133" t="s">
        <v>13</v>
      </c>
      <c r="H156" s="186">
        <v>0.85</v>
      </c>
      <c r="I156" s="186"/>
      <c r="J156" s="186"/>
      <c r="K156" s="127"/>
      <c r="L156" s="128"/>
      <c r="M156" s="128"/>
      <c r="N156" s="128"/>
      <c r="O156" s="128"/>
      <c r="P156" s="128"/>
      <c r="Q156" s="134" t="s">
        <v>233</v>
      </c>
      <c r="R156" s="127"/>
      <c r="S156" s="128"/>
      <c r="T156" s="128"/>
      <c r="U156" s="133" t="s">
        <v>13</v>
      </c>
      <c r="V156" s="186">
        <f>IF(Lamda_f&lt;=30,phib*H154,"ERROR")</f>
        <v>141.37199999999999</v>
      </c>
      <c r="W156" s="186"/>
      <c r="X156" s="186"/>
      <c r="Y156" s="135" t="s">
        <v>14</v>
      </c>
      <c r="Z156" s="127"/>
      <c r="AA156" s="127"/>
      <c r="AB156" s="129"/>
      <c r="AC156" s="90"/>
      <c r="AF156" s="85"/>
      <c r="AG156" s="85"/>
      <c r="AH156" s="85"/>
      <c r="AI156" s="85"/>
      <c r="AJ156" s="85"/>
    </row>
    <row r="157" spans="1:55" ht="15" customHeight="1">
      <c r="A157" s="86"/>
      <c r="B157" s="92"/>
      <c r="AC157" s="90"/>
      <c r="AF157" s="93"/>
      <c r="AG157" s="93"/>
      <c r="AH157" s="93"/>
      <c r="AI157" s="93"/>
      <c r="AJ157" s="93"/>
    </row>
    <row r="158" spans="1:55" ht="15" customHeight="1">
      <c r="A158" s="86"/>
      <c r="B158" s="94"/>
      <c r="C158" s="185" t="s">
        <v>728</v>
      </c>
      <c r="D158" s="185"/>
      <c r="E158" s="185"/>
      <c r="F158" s="185"/>
      <c r="G158" s="185"/>
      <c r="H158" s="185"/>
      <c r="I158" s="185"/>
      <c r="J158" s="185"/>
      <c r="K158" s="185"/>
      <c r="L158" s="185"/>
      <c r="M158" s="185"/>
      <c r="N158" s="185"/>
      <c r="O158" s="185"/>
      <c r="P158" s="185"/>
      <c r="Q158" s="185"/>
      <c r="R158" s="185"/>
      <c r="S158" s="185"/>
      <c r="T158" s="185"/>
      <c r="U158" s="185"/>
      <c r="V158" s="185"/>
      <c r="W158" s="185"/>
      <c r="X158" s="185"/>
      <c r="Y158" s="185"/>
      <c r="Z158" s="185"/>
      <c r="AA158" s="185"/>
      <c r="AB158" s="185"/>
      <c r="AC158" s="90"/>
      <c r="AF158" s="93"/>
      <c r="AG158" s="93"/>
      <c r="AH158" s="93"/>
      <c r="AI158" s="93"/>
      <c r="AJ158" s="93"/>
    </row>
    <row r="159" spans="1:55" ht="15" customHeight="1">
      <c r="A159" s="86"/>
      <c r="B159" s="92"/>
      <c r="C159" s="36" t="s">
        <v>719</v>
      </c>
      <c r="D159" s="85"/>
      <c r="E159" s="103"/>
      <c r="F159" s="85"/>
      <c r="G159" s="37" t="s">
        <v>13</v>
      </c>
      <c r="H159" s="188">
        <f>IF(Classification="Compact",MIN(Fy*Zxx,1.5*Fy*Sxxbot)/1000000,Fy*Sxxtop/1000000)</f>
        <v>1264.32</v>
      </c>
      <c r="I159" s="188"/>
      <c r="J159" s="188"/>
      <c r="K159" s="38" t="s">
        <v>14</v>
      </c>
      <c r="L159" s="181"/>
      <c r="AC159" s="90"/>
      <c r="AD159" s="93"/>
      <c r="AF159" s="93"/>
      <c r="AG159" s="93"/>
      <c r="AH159" s="93"/>
      <c r="AI159" s="93"/>
      <c r="AJ159" s="93"/>
    </row>
    <row r="160" spans="1:55" ht="15" customHeight="1">
      <c r="A160" s="86"/>
      <c r="B160" s="92"/>
      <c r="C160" s="131" t="s">
        <v>226</v>
      </c>
      <c r="D160" s="127"/>
      <c r="E160" s="128"/>
      <c r="F160" s="132"/>
      <c r="G160" s="133" t="s">
        <v>13</v>
      </c>
      <c r="H160" s="186">
        <v>0.85</v>
      </c>
      <c r="I160" s="186"/>
      <c r="J160" s="186"/>
      <c r="K160" s="127"/>
      <c r="L160" s="128"/>
      <c r="M160" s="128"/>
      <c r="N160" s="128"/>
      <c r="O160" s="128"/>
      <c r="P160" s="128"/>
      <c r="Q160" s="134" t="s">
        <v>232</v>
      </c>
      <c r="R160" s="127"/>
      <c r="S160" s="128"/>
      <c r="T160" s="128"/>
      <c r="U160" s="133" t="s">
        <v>13</v>
      </c>
      <c r="V160" s="187">
        <f>phib*H159</f>
        <v>1074.672</v>
      </c>
      <c r="W160" s="187"/>
      <c r="X160" s="187"/>
      <c r="Y160" s="135" t="s">
        <v>14</v>
      </c>
      <c r="Z160" s="127"/>
      <c r="AA160" s="127"/>
      <c r="AB160" s="129"/>
      <c r="AC160" s="96"/>
      <c r="AD160" s="93"/>
      <c r="AF160" s="93"/>
      <c r="AG160" s="93"/>
      <c r="AH160" s="93"/>
      <c r="AI160" s="93"/>
      <c r="AJ160" s="93"/>
    </row>
    <row r="161" spans="1:36" ht="15" customHeight="1">
      <c r="A161" s="86"/>
      <c r="B161" s="92"/>
      <c r="AC161" s="96"/>
      <c r="AD161" s="93"/>
      <c r="AE161" s="93"/>
      <c r="AF161" s="93"/>
      <c r="AG161" s="93"/>
      <c r="AH161" s="93"/>
      <c r="AI161" s="93"/>
      <c r="AJ161" s="93"/>
    </row>
    <row r="162" spans="1:36" ht="15" customHeight="1">
      <c r="A162" s="86"/>
      <c r="B162" s="92"/>
      <c r="AC162" s="96"/>
      <c r="AD162" s="93"/>
      <c r="AE162" s="85"/>
      <c r="AF162" s="85"/>
      <c r="AG162" s="85"/>
      <c r="AH162" s="85"/>
      <c r="AI162" s="85"/>
      <c r="AJ162" s="85"/>
    </row>
    <row r="163" spans="1:36" ht="15" customHeight="1">
      <c r="A163" s="86"/>
      <c r="B163" s="92"/>
      <c r="C163" s="185" t="s">
        <v>729</v>
      </c>
      <c r="D163" s="185"/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185"/>
      <c r="Z163" s="185"/>
      <c r="AA163" s="185"/>
      <c r="AB163" s="185"/>
      <c r="AC163" s="96"/>
      <c r="AD163" s="93"/>
      <c r="AE163" s="85"/>
      <c r="AF163" s="85"/>
      <c r="AG163" s="85"/>
      <c r="AH163" s="85"/>
      <c r="AI163" s="85"/>
      <c r="AJ163" s="85"/>
    </row>
    <row r="164" spans="1:36" ht="15" customHeight="1">
      <c r="A164" s="86"/>
      <c r="B164" s="92"/>
      <c r="C164" s="36" t="s">
        <v>719</v>
      </c>
      <c r="D164" s="85"/>
      <c r="E164" s="103"/>
      <c r="F164" s="85"/>
      <c r="G164" s="37" t="s">
        <v>13</v>
      </c>
      <c r="H164" s="188">
        <f>IF(Classification="Compact",MIN(Fy*Zyy,1.5*Fy*Syybot)/1000000,Fy*Syybot/1000000)</f>
        <v>166.32</v>
      </c>
      <c r="I164" s="188"/>
      <c r="J164" s="188"/>
      <c r="K164" s="38" t="s">
        <v>14</v>
      </c>
      <c r="L164" s="181"/>
      <c r="M164" s="182"/>
      <c r="N164" s="182"/>
      <c r="O164" s="182"/>
      <c r="P164" s="182"/>
      <c r="Q164" s="182"/>
      <c r="R164" s="182"/>
      <c r="S164" s="182"/>
      <c r="T164" s="182"/>
      <c r="U164" s="182"/>
      <c r="V164" s="182"/>
      <c r="W164" s="182"/>
      <c r="X164" s="182"/>
      <c r="Y164" s="182"/>
      <c r="Z164" s="182"/>
      <c r="AA164" s="182"/>
      <c r="AB164" s="182"/>
      <c r="AC164" s="96"/>
      <c r="AD164" s="93"/>
      <c r="AE164" s="85"/>
      <c r="AF164" s="85"/>
      <c r="AG164" s="85"/>
      <c r="AH164" s="85"/>
      <c r="AI164" s="85"/>
      <c r="AJ164" s="85"/>
    </row>
    <row r="165" spans="1:36" ht="15" customHeight="1">
      <c r="A165" s="86"/>
      <c r="B165" s="92"/>
      <c r="C165" s="131" t="s">
        <v>226</v>
      </c>
      <c r="D165" s="127"/>
      <c r="E165" s="128"/>
      <c r="F165" s="132"/>
      <c r="G165" s="133" t="s">
        <v>13</v>
      </c>
      <c r="H165" s="186">
        <v>0.85</v>
      </c>
      <c r="I165" s="186"/>
      <c r="J165" s="186"/>
      <c r="K165" s="127"/>
      <c r="L165" s="128"/>
      <c r="M165" s="128"/>
      <c r="N165" s="128"/>
      <c r="O165" s="128"/>
      <c r="P165" s="128"/>
      <c r="Q165" s="134" t="s">
        <v>232</v>
      </c>
      <c r="R165" s="127"/>
      <c r="S165" s="128"/>
      <c r="T165" s="128"/>
      <c r="U165" s="133" t="s">
        <v>13</v>
      </c>
      <c r="V165" s="187">
        <f>phib*H164</f>
        <v>141.37199999999999</v>
      </c>
      <c r="W165" s="187"/>
      <c r="X165" s="187"/>
      <c r="Y165" s="135" t="s">
        <v>14</v>
      </c>
      <c r="Z165" s="127"/>
      <c r="AA165" s="127"/>
      <c r="AB165" s="129"/>
      <c r="AC165" s="96"/>
      <c r="AD165" s="93"/>
      <c r="AE165" s="85"/>
      <c r="AF165" s="85"/>
      <c r="AG165" s="85"/>
      <c r="AH165" s="85"/>
      <c r="AI165" s="85"/>
      <c r="AJ165" s="85"/>
    </row>
    <row r="166" spans="1:36" ht="15" customHeight="1">
      <c r="A166" s="86"/>
      <c r="B166" s="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96"/>
      <c r="AD166" s="85"/>
      <c r="AF166" s="85"/>
      <c r="AG166" s="85"/>
      <c r="AH166" s="85"/>
      <c r="AI166" s="85"/>
      <c r="AJ166" s="85"/>
    </row>
    <row r="167" spans="1:36" ht="15" customHeight="1">
      <c r="A167" s="86"/>
      <c r="B167" s="92"/>
      <c r="C167" s="179"/>
      <c r="D167" s="179"/>
      <c r="E167" s="179"/>
      <c r="F167" s="179"/>
      <c r="G167" s="179"/>
      <c r="H167" s="179"/>
      <c r="I167" s="179"/>
      <c r="J167" s="179"/>
      <c r="K167" s="179"/>
      <c r="L167" s="179"/>
      <c r="M167" s="179"/>
      <c r="N167" s="179"/>
      <c r="O167" s="179"/>
      <c r="P167" s="179"/>
      <c r="Q167" s="179"/>
      <c r="R167" s="179"/>
      <c r="S167" s="179"/>
      <c r="T167" s="179"/>
      <c r="U167" s="179"/>
      <c r="V167" s="179"/>
      <c r="W167" s="179"/>
      <c r="X167" s="179"/>
      <c r="Y167" s="179"/>
      <c r="Z167" s="179"/>
      <c r="AA167" s="179"/>
      <c r="AB167" s="179"/>
      <c r="AC167" s="96"/>
      <c r="AD167" s="85"/>
      <c r="AE167" s="85"/>
      <c r="AF167" s="85"/>
      <c r="AG167" s="85"/>
      <c r="AH167" s="85"/>
      <c r="AI167" s="85"/>
      <c r="AJ167" s="85"/>
    </row>
    <row r="168" spans="1:36" ht="15" customHeight="1">
      <c r="A168" s="86"/>
      <c r="B168" s="92"/>
      <c r="C168" s="185" t="s">
        <v>240</v>
      </c>
      <c r="D168" s="185"/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185"/>
      <c r="Q168" s="185"/>
      <c r="R168" s="185"/>
      <c r="S168" s="185"/>
      <c r="T168" s="185"/>
      <c r="U168" s="185"/>
      <c r="V168" s="185"/>
      <c r="W168" s="185"/>
      <c r="X168" s="185"/>
      <c r="Y168" s="185"/>
      <c r="Z168" s="185"/>
      <c r="AA168" s="185"/>
      <c r="AB168" s="185"/>
      <c r="AC168" s="96"/>
      <c r="AD168" s="85"/>
      <c r="AE168" s="85"/>
      <c r="AF168" s="85" t="s">
        <v>244</v>
      </c>
      <c r="AG168" s="85"/>
      <c r="AH168" s="85"/>
      <c r="AI168" s="85"/>
      <c r="AJ168" s="85"/>
    </row>
    <row r="169" spans="1:36" ht="15" customHeight="1">
      <c r="A169" s="86"/>
      <c r="B169" s="92"/>
      <c r="C169" s="125"/>
      <c r="D169" s="85"/>
      <c r="E169" s="85"/>
      <c r="F169" s="85"/>
      <c r="G169" s="85"/>
      <c r="H169" s="85"/>
      <c r="I169" s="121"/>
      <c r="J169" s="37"/>
      <c r="K169" s="179"/>
      <c r="L169" s="179"/>
      <c r="M169" s="179"/>
      <c r="N169" s="38"/>
      <c r="O169" s="121"/>
      <c r="P169" s="121"/>
      <c r="Q169" s="121"/>
      <c r="R169" s="121"/>
      <c r="S169" s="121"/>
      <c r="T169" s="121"/>
      <c r="U169" s="121"/>
      <c r="V169" s="121"/>
      <c r="W169" s="36"/>
      <c r="X169" s="36"/>
      <c r="Y169" s="36"/>
      <c r="Z169" s="36"/>
      <c r="AA169" s="36"/>
      <c r="AB169" s="36"/>
      <c r="AC169" s="96"/>
      <c r="AD169" s="85"/>
      <c r="AE169" s="85"/>
      <c r="AF169" s="85" t="s">
        <v>245</v>
      </c>
      <c r="AG169" s="85"/>
      <c r="AH169" s="85"/>
      <c r="AI169" s="85"/>
      <c r="AJ169" s="85"/>
    </row>
    <row r="170" spans="1:36" ht="15" customHeight="1">
      <c r="A170" s="86"/>
      <c r="B170" s="92"/>
      <c r="C170" s="139" t="s">
        <v>243</v>
      </c>
      <c r="D170" s="137"/>
      <c r="E170" s="138"/>
      <c r="F170" s="138"/>
      <c r="G170" s="140" t="s">
        <v>13</v>
      </c>
      <c r="H170" s="189">
        <f>Hw*tw*IF(Lamda_w&lt;112/SQRT(Fy/100),0.6*Fy,IF(Lamda_w&lt;139/SQRT(Fy/100),0.6*112/SQRT(Fy/100)/Lamda_w*Fy,IF(Lamda_w&lt;260,9500/(Lamda_w)^2*100,"N.A.")))/1000</f>
        <v>1456.704</v>
      </c>
      <c r="I170" s="189"/>
      <c r="J170" s="189"/>
      <c r="K170" s="141" t="s">
        <v>15</v>
      </c>
      <c r="Y170" s="38"/>
      <c r="Z170" s="120"/>
      <c r="AA170" s="37"/>
      <c r="AB170" s="115"/>
      <c r="AC170" s="90"/>
      <c r="AD170" s="85"/>
      <c r="AE170" s="85"/>
      <c r="AF170" s="85"/>
      <c r="AG170" s="85"/>
      <c r="AH170" s="85"/>
      <c r="AI170" s="85"/>
      <c r="AJ170" s="85"/>
    </row>
    <row r="171" spans="1:36" ht="15" customHeight="1">
      <c r="A171" s="86"/>
      <c r="B171" s="89"/>
      <c r="C171" s="139" t="s">
        <v>247</v>
      </c>
      <c r="D171" s="137"/>
      <c r="E171" s="138"/>
      <c r="F171" s="138"/>
      <c r="G171" s="140" t="s">
        <v>13</v>
      </c>
      <c r="H171" s="189">
        <f>(Bft*tft+Bfb*tfb)*0.6*Fy/1000</f>
        <v>1805.76</v>
      </c>
      <c r="I171" s="189"/>
      <c r="J171" s="189"/>
      <c r="K171" s="141" t="s">
        <v>15</v>
      </c>
      <c r="Y171" s="38"/>
      <c r="Z171" s="120"/>
      <c r="AA171" s="37"/>
      <c r="AB171" s="115"/>
      <c r="AC171" s="99"/>
      <c r="AD171" s="85"/>
      <c r="AF171" s="85"/>
      <c r="AG171" s="85"/>
      <c r="AH171" s="85"/>
      <c r="AI171" s="85"/>
      <c r="AJ171" s="85"/>
    </row>
    <row r="172" spans="1:36" ht="15" customHeight="1">
      <c r="A172" s="86"/>
      <c r="B172" s="92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79"/>
      <c r="O172" s="179"/>
      <c r="P172" s="179"/>
      <c r="Q172" s="179"/>
      <c r="R172" s="179"/>
      <c r="S172" s="179"/>
      <c r="T172" s="179"/>
      <c r="U172" s="179"/>
      <c r="V172" s="179"/>
      <c r="W172" s="179"/>
      <c r="X172" s="179"/>
      <c r="Y172" s="179"/>
      <c r="Z172" s="179"/>
      <c r="AA172" s="179"/>
      <c r="AB172" s="179"/>
      <c r="AC172" s="100"/>
      <c r="AD172" s="85"/>
      <c r="AE172" s="85"/>
      <c r="AF172" s="85"/>
      <c r="AG172" s="85"/>
      <c r="AH172" s="85"/>
      <c r="AI172" s="85"/>
      <c r="AJ172" s="85"/>
    </row>
    <row r="173" spans="1:36" ht="15" customHeight="1">
      <c r="A173" s="86"/>
      <c r="B173" s="92"/>
      <c r="C173" s="131" t="s">
        <v>241</v>
      </c>
      <c r="D173" s="127"/>
      <c r="E173" s="128"/>
      <c r="F173" s="132"/>
      <c r="G173" s="133" t="s">
        <v>13</v>
      </c>
      <c r="H173" s="186">
        <v>0.85</v>
      </c>
      <c r="I173" s="186"/>
      <c r="J173" s="186"/>
      <c r="K173" s="127"/>
      <c r="L173" s="128"/>
      <c r="M173" s="128"/>
      <c r="N173" s="128"/>
      <c r="O173" s="128"/>
      <c r="P173" s="128"/>
      <c r="Q173" s="134" t="s">
        <v>242</v>
      </c>
      <c r="R173" s="127"/>
      <c r="S173" s="128"/>
      <c r="T173" s="128"/>
      <c r="U173" s="133" t="s">
        <v>13</v>
      </c>
      <c r="V173" s="186">
        <f>phiv*H170</f>
        <v>1238.1984</v>
      </c>
      <c r="W173" s="186"/>
      <c r="X173" s="186"/>
      <c r="Y173" s="135" t="s">
        <v>15</v>
      </c>
      <c r="Z173" s="127"/>
      <c r="AA173" s="127"/>
      <c r="AB173" s="129"/>
      <c r="AC173" s="100"/>
      <c r="AD173" s="85"/>
      <c r="AE173" s="85"/>
      <c r="AF173" s="85"/>
      <c r="AG173" s="85"/>
      <c r="AH173" s="85"/>
      <c r="AI173" s="85"/>
      <c r="AJ173" s="85"/>
    </row>
    <row r="174" spans="1:36" ht="15" customHeight="1">
      <c r="A174" s="86"/>
      <c r="B174" s="92"/>
      <c r="C174" s="131"/>
      <c r="D174" s="127"/>
      <c r="E174" s="128"/>
      <c r="F174" s="132"/>
      <c r="G174" s="133"/>
      <c r="H174" s="186"/>
      <c r="I174" s="186"/>
      <c r="J174" s="186"/>
      <c r="K174" s="127"/>
      <c r="L174" s="128"/>
      <c r="M174" s="128"/>
      <c r="N174" s="128"/>
      <c r="O174" s="128"/>
      <c r="P174" s="128"/>
      <c r="Q174" s="134" t="s">
        <v>246</v>
      </c>
      <c r="R174" s="127"/>
      <c r="S174" s="128"/>
      <c r="T174" s="128"/>
      <c r="U174" s="133" t="s">
        <v>13</v>
      </c>
      <c r="V174" s="186">
        <f>phiv*H171</f>
        <v>1534.896</v>
      </c>
      <c r="W174" s="186"/>
      <c r="X174" s="186"/>
      <c r="Y174" s="135" t="s">
        <v>15</v>
      </c>
      <c r="Z174" s="127"/>
      <c r="AA174" s="127"/>
      <c r="AB174" s="129"/>
      <c r="AC174" s="99"/>
      <c r="AD174" s="85"/>
      <c r="AE174" s="85"/>
      <c r="AF174" s="85"/>
      <c r="AG174" s="85"/>
      <c r="AH174" s="85"/>
      <c r="AI174" s="85"/>
      <c r="AJ174" s="85"/>
    </row>
    <row r="175" spans="1:36" ht="15" customHeight="1">
      <c r="A175" s="86"/>
      <c r="B175" s="92"/>
      <c r="AC175" s="100"/>
      <c r="AE175" s="85"/>
      <c r="AG175" s="102"/>
      <c r="AH175" s="85"/>
      <c r="AI175" s="85"/>
      <c r="AJ175" s="85"/>
    </row>
    <row r="176" spans="1:36" ht="15" customHeight="1">
      <c r="A176" s="86"/>
      <c r="B176" s="92"/>
      <c r="AC176" s="100"/>
      <c r="AG176" s="85"/>
      <c r="AH176" s="85"/>
      <c r="AI176" s="85"/>
      <c r="AJ176" s="85"/>
    </row>
    <row r="177" spans="1:36" ht="15" customHeight="1">
      <c r="A177" s="86"/>
      <c r="B177" s="92"/>
      <c r="AC177" s="96"/>
      <c r="AG177" s="85"/>
      <c r="AH177" s="85"/>
      <c r="AI177" s="85"/>
      <c r="AJ177" s="85"/>
    </row>
    <row r="178" spans="1:36" ht="15" customHeight="1">
      <c r="A178" s="86"/>
      <c r="B178" s="92"/>
      <c r="AC178" s="90"/>
      <c r="AG178" s="102"/>
      <c r="AH178" s="85"/>
      <c r="AI178" s="85"/>
      <c r="AJ178" s="85"/>
    </row>
    <row r="179" spans="1:36" ht="15" customHeight="1">
      <c r="A179" s="86"/>
      <c r="B179" s="92"/>
      <c r="AC179" s="90"/>
      <c r="AG179" s="85"/>
      <c r="AH179" s="85"/>
      <c r="AI179" s="85"/>
      <c r="AJ179" s="85"/>
    </row>
    <row r="180" spans="1:36" ht="15" customHeight="1">
      <c r="A180" s="86"/>
      <c r="B180" s="92"/>
      <c r="AC180" s="90"/>
      <c r="AG180" s="85"/>
      <c r="AH180" s="85"/>
      <c r="AI180" s="85"/>
      <c r="AJ180" s="85"/>
    </row>
    <row r="181" spans="1:36" ht="15" customHeight="1">
      <c r="A181" s="86"/>
      <c r="B181" s="89"/>
      <c r="C181" s="36"/>
      <c r="D181" s="85"/>
      <c r="E181" s="85"/>
      <c r="F181" s="85"/>
      <c r="G181" s="85"/>
      <c r="H181" s="85"/>
      <c r="I181" s="37"/>
      <c r="J181" s="37"/>
      <c r="K181" s="196"/>
      <c r="L181" s="196"/>
      <c r="M181" s="196"/>
      <c r="N181" s="38"/>
      <c r="O181" s="36"/>
      <c r="P181" s="36"/>
      <c r="Q181" s="36"/>
      <c r="R181" s="121"/>
      <c r="S181" s="85"/>
      <c r="T181" s="85"/>
      <c r="U181" s="85"/>
      <c r="V181" s="85"/>
      <c r="W181" s="85"/>
      <c r="X181" s="121"/>
      <c r="Y181" s="121"/>
      <c r="Z181" s="121"/>
      <c r="AA181" s="121"/>
      <c r="AB181" s="121"/>
      <c r="AC181" s="90"/>
      <c r="AG181" s="102"/>
      <c r="AH181" s="85"/>
      <c r="AI181" s="85"/>
      <c r="AJ181" s="85"/>
    </row>
    <row r="182" spans="1:36" ht="15" customHeight="1">
      <c r="A182" s="86"/>
      <c r="B182" s="92"/>
      <c r="AC182" s="90"/>
      <c r="AG182" s="102"/>
      <c r="AH182" s="85"/>
      <c r="AI182" s="85"/>
      <c r="AJ182" s="85"/>
    </row>
    <row r="183" spans="1:36" ht="15" customHeight="1">
      <c r="A183" s="86"/>
      <c r="B183" s="92"/>
      <c r="AC183" s="90"/>
      <c r="AD183" s="85"/>
      <c r="AE183" s="85"/>
      <c r="AF183" s="85"/>
      <c r="AG183" s="85"/>
      <c r="AH183" s="85"/>
      <c r="AI183" s="85"/>
      <c r="AJ183" s="85"/>
    </row>
    <row r="184" spans="1:36" ht="15" customHeight="1">
      <c r="A184" s="86"/>
      <c r="B184" s="92"/>
      <c r="AC184" s="90"/>
      <c r="AD184" s="85"/>
      <c r="AE184" s="85"/>
      <c r="AF184" s="85"/>
      <c r="AG184" s="85"/>
      <c r="AH184" s="85"/>
      <c r="AI184" s="85"/>
      <c r="AJ184" s="85"/>
    </row>
    <row r="185" spans="1:36" ht="15" customHeight="1">
      <c r="A185" s="86"/>
      <c r="B185" s="92"/>
      <c r="AC185" s="90"/>
      <c r="AD185" s="85"/>
      <c r="AE185" s="85"/>
      <c r="AF185" s="85"/>
      <c r="AG185" s="85"/>
      <c r="AH185" s="85"/>
      <c r="AI185" s="85"/>
      <c r="AJ185" s="85"/>
    </row>
    <row r="186" spans="1:36" ht="15" customHeight="1">
      <c r="A186" s="86"/>
      <c r="B186" s="92"/>
      <c r="AC186" s="90"/>
      <c r="AD186" s="85"/>
      <c r="AE186" s="85"/>
      <c r="AF186" s="85"/>
      <c r="AG186" s="85"/>
      <c r="AH186" s="85"/>
      <c r="AI186" s="85"/>
      <c r="AJ186" s="85"/>
    </row>
    <row r="187" spans="1:36" ht="15" customHeight="1">
      <c r="A187" s="86"/>
      <c r="B187" s="92"/>
      <c r="AC187" s="90"/>
      <c r="AD187" s="85"/>
      <c r="AE187" s="85"/>
      <c r="AF187" s="85"/>
      <c r="AG187" s="85"/>
      <c r="AH187" s="85"/>
      <c r="AI187" s="85"/>
      <c r="AJ187" s="85"/>
    </row>
    <row r="188" spans="1:36" ht="15" customHeight="1">
      <c r="A188" s="86"/>
      <c r="B188" s="92"/>
      <c r="AC188" s="90"/>
      <c r="AD188" s="85"/>
      <c r="AE188" s="85"/>
      <c r="AF188" s="85"/>
      <c r="AG188" s="85"/>
      <c r="AH188" s="85"/>
      <c r="AI188" s="85"/>
      <c r="AJ188" s="85"/>
    </row>
    <row r="189" spans="1:36" ht="15" customHeight="1">
      <c r="A189" s="86"/>
      <c r="B189" s="92"/>
      <c r="AC189" s="90"/>
      <c r="AD189" s="85"/>
      <c r="AE189" s="85"/>
      <c r="AF189" s="85"/>
      <c r="AG189" s="85"/>
      <c r="AH189" s="85"/>
      <c r="AI189" s="85"/>
      <c r="AJ189" s="85"/>
    </row>
    <row r="190" spans="1:36" ht="15" customHeight="1">
      <c r="A190" s="86"/>
      <c r="B190" s="89"/>
      <c r="AC190" s="90"/>
      <c r="AD190" s="85"/>
      <c r="AE190" s="85"/>
      <c r="AF190" s="85"/>
      <c r="AG190" s="85"/>
      <c r="AH190" s="85"/>
      <c r="AI190" s="85"/>
      <c r="AJ190" s="85"/>
    </row>
    <row r="191" spans="1:36" ht="15" customHeight="1">
      <c r="A191" s="86"/>
      <c r="B191" s="89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90"/>
      <c r="AD191" s="85"/>
      <c r="AE191" s="85"/>
      <c r="AF191" s="85"/>
      <c r="AG191" s="85"/>
      <c r="AH191" s="85"/>
      <c r="AI191" s="85"/>
      <c r="AJ191" s="85"/>
    </row>
    <row r="192" spans="1:36" ht="15" customHeight="1">
      <c r="A192" s="86"/>
      <c r="B192" s="89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90"/>
      <c r="AD192" s="85"/>
      <c r="AE192" s="85"/>
      <c r="AF192" s="85"/>
      <c r="AG192" s="85"/>
      <c r="AH192" s="85"/>
      <c r="AI192" s="85"/>
      <c r="AJ192" s="85"/>
    </row>
    <row r="193" spans="1:37" ht="15" customHeight="1" thickBot="1">
      <c r="A193" s="86"/>
      <c r="B193" s="104"/>
      <c r="C193" s="105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6"/>
      <c r="Z193" s="106"/>
      <c r="AA193" s="106"/>
      <c r="AB193" s="106"/>
      <c r="AC193" s="107" t="s">
        <v>153</v>
      </c>
      <c r="AD193" s="85"/>
      <c r="AE193" s="85"/>
      <c r="AF193" s="85"/>
      <c r="AG193" s="85"/>
      <c r="AH193" s="85"/>
      <c r="AI193" s="85"/>
      <c r="AJ193" s="85"/>
    </row>
    <row r="194" spans="1:37" ht="15" customHeight="1">
      <c r="A194" s="80"/>
      <c r="B194" s="81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3"/>
      <c r="AA194" s="83"/>
      <c r="AB194" s="83"/>
      <c r="AC194" s="84"/>
      <c r="AD194" s="85"/>
      <c r="AE194" s="85"/>
      <c r="AF194" s="85"/>
      <c r="AG194" s="85"/>
      <c r="AH194" s="85"/>
      <c r="AI194" s="85"/>
      <c r="AJ194" s="85"/>
    </row>
    <row r="195" spans="1:37" ht="15" customHeight="1">
      <c r="A195" s="86"/>
      <c r="B195" s="87"/>
      <c r="C195" s="185" t="s">
        <v>141</v>
      </c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5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  <c r="AB195" s="185"/>
      <c r="AC195" s="88"/>
      <c r="AD195" s="85"/>
      <c r="AE195" s="85"/>
      <c r="AF195" s="85"/>
      <c r="AG195" s="85"/>
      <c r="AH195" s="85"/>
      <c r="AI195" s="85"/>
      <c r="AJ195" s="85"/>
    </row>
    <row r="196" spans="1:37" ht="15" customHeight="1">
      <c r="A196" s="86"/>
      <c r="B196" s="87"/>
      <c r="C196" s="36" t="s">
        <v>142</v>
      </c>
      <c r="D196" s="85"/>
      <c r="E196" s="85"/>
      <c r="F196" s="85"/>
      <c r="G196" s="85"/>
      <c r="H196" s="85"/>
      <c r="I196" s="37" t="s">
        <v>13</v>
      </c>
      <c r="J196" s="199">
        <f>IF(P&lt;=0,P/V106,0)</f>
        <v>8.6774509290916776E-2</v>
      </c>
      <c r="K196" s="199"/>
      <c r="L196" s="199"/>
      <c r="M196" s="195" t="str">
        <f>IF(J196&lt;IR,"(PASS)","(FAIL)")</f>
        <v>(PASS)</v>
      </c>
      <c r="N196" s="195"/>
      <c r="O196" s="85"/>
      <c r="P196" s="85"/>
      <c r="AA196" s="85"/>
      <c r="AB196" s="85"/>
      <c r="AC196" s="88"/>
      <c r="AD196" s="85"/>
      <c r="AE196" s="85">
        <f>IF(M196="(PASS)",0,1)</f>
        <v>0</v>
      </c>
      <c r="AF196" s="85"/>
      <c r="AG196" s="36"/>
      <c r="AH196" s="37"/>
      <c r="AI196" s="123"/>
      <c r="AJ196" s="123"/>
      <c r="AK196" s="123"/>
    </row>
    <row r="197" spans="1:37" ht="15" customHeight="1">
      <c r="A197" s="86"/>
      <c r="B197" s="89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AA197" s="36"/>
      <c r="AB197" s="36"/>
      <c r="AC197" s="90"/>
      <c r="AD197" s="85"/>
      <c r="AF197" s="85"/>
      <c r="AG197" s="36"/>
      <c r="AH197" s="37"/>
      <c r="AI197" s="123"/>
      <c r="AJ197" s="123"/>
      <c r="AK197" s="123"/>
    </row>
    <row r="198" spans="1:37" ht="15" customHeight="1">
      <c r="A198" s="86"/>
      <c r="B198" s="89"/>
      <c r="C198" s="36" t="s">
        <v>143</v>
      </c>
      <c r="D198" s="36"/>
      <c r="E198" s="36"/>
      <c r="F198" s="36"/>
      <c r="G198" s="36"/>
      <c r="H198" s="36"/>
      <c r="I198" s="37" t="s">
        <v>13</v>
      </c>
      <c r="J198" s="199">
        <f>IF(P&gt;0,P/V109,0)</f>
        <v>0</v>
      </c>
      <c r="K198" s="199"/>
      <c r="L198" s="199"/>
      <c r="M198" s="195" t="str">
        <f>IF(ABS(J198)&lt;IR,"(PASS)","(FAIL)")</f>
        <v>(PASS)</v>
      </c>
      <c r="N198" s="19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90"/>
      <c r="AD198" s="85"/>
      <c r="AE198" s="85">
        <f>IF(M198="(PASS)",0,1)</f>
        <v>0</v>
      </c>
      <c r="AF198" s="85"/>
      <c r="AG198" s="85"/>
      <c r="AH198" s="85"/>
      <c r="AI198" s="85"/>
      <c r="AJ198" s="85"/>
    </row>
    <row r="199" spans="1:37" ht="15" customHeight="1">
      <c r="A199" s="86"/>
      <c r="B199" s="9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90"/>
      <c r="AD199" s="85"/>
      <c r="AF199" s="85"/>
      <c r="AG199" s="85"/>
      <c r="AH199" s="85"/>
      <c r="AI199" s="85"/>
      <c r="AJ199" s="85"/>
    </row>
    <row r="200" spans="1:37" ht="15" customHeight="1">
      <c r="A200" s="86"/>
      <c r="B200" s="92"/>
      <c r="C200" s="36" t="s">
        <v>722</v>
      </c>
      <c r="D200" s="85"/>
      <c r="E200" s="85"/>
      <c r="F200" s="85"/>
      <c r="G200" s="85"/>
      <c r="H200" s="85"/>
      <c r="I200" s="37" t="s">
        <v>13</v>
      </c>
      <c r="J200" s="199">
        <f>Mx/V145</f>
        <v>0.14221004778578045</v>
      </c>
      <c r="K200" s="199"/>
      <c r="L200" s="199"/>
      <c r="M200" s="195" t="str">
        <f>IF(ABS(J200)&lt;IR,"(PASS)","(FAIL)")</f>
        <v>(PASS)</v>
      </c>
      <c r="N200" s="195"/>
      <c r="O200" s="36"/>
      <c r="P200" s="36"/>
      <c r="AC200" s="90"/>
      <c r="AE200" s="85">
        <f>IF(M200="(PASS)",0,1)</f>
        <v>0</v>
      </c>
      <c r="AF200" s="85"/>
      <c r="AG200" s="85"/>
      <c r="AH200" s="85"/>
      <c r="AI200" s="85"/>
      <c r="AJ200" s="85"/>
    </row>
    <row r="201" spans="1:37" ht="15" customHeight="1">
      <c r="A201" s="86"/>
      <c r="B201" s="92"/>
      <c r="C201" s="36" t="s">
        <v>723</v>
      </c>
      <c r="D201" s="36"/>
      <c r="E201" s="36"/>
      <c r="F201" s="36"/>
      <c r="G201" s="36"/>
      <c r="H201" s="36"/>
      <c r="I201" s="37" t="s">
        <v>13</v>
      </c>
      <c r="J201" s="199">
        <f>My/V156</f>
        <v>0.70735364853011917</v>
      </c>
      <c r="K201" s="199"/>
      <c r="L201" s="199"/>
      <c r="M201" s="195" t="str">
        <f>IF(ABS(J201)&lt;IR,"(PASS)","(FAIL)")</f>
        <v>(PASS)</v>
      </c>
      <c r="N201" s="195"/>
      <c r="O201" s="36"/>
      <c r="P201" s="36"/>
      <c r="AC201" s="90"/>
      <c r="AE201" s="85">
        <f>IF(M201="(PASS)",0,1)</f>
        <v>0</v>
      </c>
      <c r="AF201" s="85"/>
      <c r="AG201" s="85"/>
      <c r="AH201" s="85"/>
      <c r="AI201" s="85"/>
      <c r="AJ201" s="85"/>
    </row>
    <row r="202" spans="1:37" ht="15" customHeight="1">
      <c r="A202" s="86"/>
      <c r="B202" s="92"/>
      <c r="C202" s="36" t="s">
        <v>724</v>
      </c>
      <c r="D202" s="85"/>
      <c r="E202" s="85"/>
      <c r="F202" s="85"/>
      <c r="G202" s="85"/>
      <c r="H202" s="85"/>
      <c r="I202" s="37" t="s">
        <v>13</v>
      </c>
      <c r="J202" s="199">
        <f>Mx/V160</f>
        <v>9.305164738636533E-2</v>
      </c>
      <c r="K202" s="199"/>
      <c r="L202" s="199"/>
      <c r="M202" s="195" t="str">
        <f>IF(ABS(J202)&lt;IR,"(PASS)","(FAIL)")</f>
        <v>(PASS)</v>
      </c>
      <c r="N202" s="195"/>
      <c r="O202" s="36"/>
      <c r="P202" s="36"/>
      <c r="Q202" s="36"/>
      <c r="R202" s="36"/>
      <c r="S202" s="36"/>
      <c r="T202" s="36"/>
      <c r="U202" s="36"/>
      <c r="V202" s="36"/>
      <c r="W202" s="37"/>
      <c r="X202" s="199"/>
      <c r="Y202" s="199"/>
      <c r="Z202" s="199"/>
      <c r="AA202" s="195"/>
      <c r="AB202" s="195"/>
      <c r="AC202" s="90"/>
      <c r="AE202" s="85">
        <f t="shared" ref="AE202:AE203" si="13">IF(M202="(PASS)",0,1)</f>
        <v>0</v>
      </c>
      <c r="AF202" s="85"/>
      <c r="AG202" s="85"/>
      <c r="AH202" s="85"/>
      <c r="AI202" s="85"/>
      <c r="AJ202" s="85"/>
    </row>
    <row r="203" spans="1:37" ht="15" customHeight="1">
      <c r="A203" s="86"/>
      <c r="B203" s="92"/>
      <c r="C203" s="36" t="s">
        <v>725</v>
      </c>
      <c r="D203" s="36"/>
      <c r="E203" s="36"/>
      <c r="F203" s="36"/>
      <c r="G203" s="36"/>
      <c r="H203" s="36"/>
      <c r="I203" s="37" t="s">
        <v>13</v>
      </c>
      <c r="J203" s="199">
        <f>My/V165</f>
        <v>0.70735364853011917</v>
      </c>
      <c r="K203" s="199"/>
      <c r="L203" s="199"/>
      <c r="M203" s="195" t="str">
        <f>IF(ABS(J203)&lt;IR,"(PASS)","(FAIL)")</f>
        <v>(PASS)</v>
      </c>
      <c r="N203" s="19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90"/>
      <c r="AE203" s="85">
        <f t="shared" si="13"/>
        <v>0</v>
      </c>
      <c r="AF203" s="85"/>
      <c r="AG203" s="85"/>
      <c r="AH203" s="85"/>
      <c r="AI203" s="85"/>
      <c r="AJ203" s="85"/>
    </row>
    <row r="204" spans="1:37" ht="15" customHeight="1">
      <c r="A204" s="86"/>
      <c r="B204" s="92"/>
      <c r="AC204" s="90"/>
      <c r="AF204" s="93"/>
      <c r="AG204" s="93"/>
      <c r="AH204" s="93"/>
      <c r="AI204" s="93"/>
      <c r="AJ204" s="93"/>
    </row>
    <row r="205" spans="1:37" ht="15" customHeight="1">
      <c r="A205" s="86"/>
      <c r="B205" s="94"/>
      <c r="AC205" s="90"/>
      <c r="AF205" s="93"/>
      <c r="AG205" s="93"/>
      <c r="AH205" s="93"/>
      <c r="AI205" s="93"/>
      <c r="AJ205" s="93"/>
    </row>
    <row r="206" spans="1:37" ht="15" customHeight="1">
      <c r="A206" s="86"/>
      <c r="B206" s="92"/>
      <c r="C206" s="36" t="s">
        <v>248</v>
      </c>
      <c r="D206" s="36"/>
      <c r="E206" s="36"/>
      <c r="F206" s="36"/>
      <c r="G206" s="36"/>
      <c r="H206" s="36"/>
      <c r="I206" s="36"/>
      <c r="J206" s="36"/>
      <c r="K206" s="37" t="s">
        <v>13</v>
      </c>
      <c r="L206" s="192" t="str">
        <f>IF(J196&gt;=0.2,J196+8/9*(J200+J201),"N.A.")</f>
        <v>N.A.</v>
      </c>
      <c r="M206" s="192"/>
      <c r="N206" s="192"/>
      <c r="O206" s="36"/>
      <c r="P206" s="122" t="str">
        <f>IF(ISNUMBER(L206),IF(ABS(L206)&lt;IR,"&lt;","&gt;"),"")</f>
        <v/>
      </c>
      <c r="Q206" s="36"/>
      <c r="R206" s="193">
        <f>IR</f>
        <v>1</v>
      </c>
      <c r="S206" s="194"/>
      <c r="T206" s="194"/>
      <c r="U206" s="36"/>
      <c r="V206" s="36"/>
      <c r="W206" s="195" t="str">
        <f>IF(L206&lt;&gt;"N.A.",IF(ABS(L206)&lt;IR,"(PASS)","(FAIL)"),"(PASS)")</f>
        <v>(PASS)</v>
      </c>
      <c r="X206" s="195"/>
      <c r="Y206" s="85"/>
      <c r="Z206" s="36" t="s">
        <v>155</v>
      </c>
      <c r="AA206" s="85"/>
      <c r="AB206" s="85"/>
      <c r="AC206" s="90"/>
      <c r="AD206" s="93"/>
      <c r="AE206" s="85">
        <f>IF(W206="(PASS)",0,1)</f>
        <v>0</v>
      </c>
      <c r="AF206" s="93"/>
      <c r="AG206" s="93"/>
      <c r="AH206" s="93"/>
      <c r="AI206" s="93"/>
      <c r="AJ206" s="93"/>
    </row>
    <row r="207" spans="1:37" ht="15" customHeight="1">
      <c r="A207" s="86"/>
      <c r="B207" s="92"/>
      <c r="C207" s="36" t="s">
        <v>249</v>
      </c>
      <c r="D207" s="36"/>
      <c r="E207" s="36"/>
      <c r="F207" s="36"/>
      <c r="G207" s="36"/>
      <c r="H207" s="36"/>
      <c r="I207" s="36"/>
      <c r="J207" s="36"/>
      <c r="K207" s="37" t="s">
        <v>13</v>
      </c>
      <c r="L207" s="192">
        <f>IF(AND(J196&gt;0,J196&lt;0.2),J196/2+(J200+J201),"N.A.")</f>
        <v>0.89295095096135801</v>
      </c>
      <c r="M207" s="192"/>
      <c r="N207" s="192"/>
      <c r="O207" s="36"/>
      <c r="P207" s="122" t="str">
        <f>IF(ISNUMBER(L207),IF(ABS(L207)&lt;IR,"&lt;","&gt;"),"")</f>
        <v>&lt;</v>
      </c>
      <c r="Q207" s="36"/>
      <c r="R207" s="193">
        <f>IR</f>
        <v>1</v>
      </c>
      <c r="S207" s="194"/>
      <c r="T207" s="194"/>
      <c r="U207" s="36"/>
      <c r="V207" s="36"/>
      <c r="W207" s="195" t="str">
        <f>IF(L207&lt;&gt;"N.A.",IF(ABS(L207)&lt;IR,"(PASS)","(FAIL)"),"(PASS)")</f>
        <v>(PASS)</v>
      </c>
      <c r="X207" s="195"/>
      <c r="Y207" s="85"/>
      <c r="Z207" s="36" t="s">
        <v>155</v>
      </c>
      <c r="AA207" s="85"/>
      <c r="AB207" s="85"/>
      <c r="AC207" s="96"/>
      <c r="AD207" s="93"/>
      <c r="AE207" s="85">
        <f>IF(W207="(PASS)",0,1)</f>
        <v>0</v>
      </c>
      <c r="AF207" s="93"/>
      <c r="AG207" s="93"/>
      <c r="AH207" s="93"/>
      <c r="AI207" s="93"/>
      <c r="AJ207" s="93"/>
    </row>
    <row r="208" spans="1:37" ht="15" customHeight="1">
      <c r="A208" s="86"/>
      <c r="B208" s="92"/>
      <c r="C208" s="36" t="s">
        <v>250</v>
      </c>
      <c r="D208" s="36"/>
      <c r="E208" s="36"/>
      <c r="F208" s="36"/>
      <c r="G208" s="36"/>
      <c r="H208" s="36"/>
      <c r="I208" s="36"/>
      <c r="J208" s="36"/>
      <c r="K208" s="37" t="s">
        <v>13</v>
      </c>
      <c r="L208" s="192" t="str">
        <f>IF(J196&lt;&gt;0,IF(My=0,J196+J200^2,IF(Mx=0,J196+J201^2,"N.A.")),"N.A.")</f>
        <v>N.A.</v>
      </c>
      <c r="M208" s="192"/>
      <c r="N208" s="192"/>
      <c r="P208" s="122" t="str">
        <f>IF(ISNUMBER(L208),IF(ABS(L208)&lt;IR,"&lt;","&gt;"),"")</f>
        <v/>
      </c>
      <c r="R208" s="193">
        <f>IR</f>
        <v>1</v>
      </c>
      <c r="S208" s="194"/>
      <c r="T208" s="194"/>
      <c r="W208" s="195" t="str">
        <f>IF(L208&lt;&gt;"N.A.",IF(ABS(L208)&lt;IR,"(PASS)","(FAIL)"),"(PASS)")</f>
        <v>(PASS)</v>
      </c>
      <c r="X208" s="195"/>
      <c r="Z208" s="36" t="s">
        <v>155</v>
      </c>
      <c r="AC208" s="96"/>
      <c r="AD208" s="93"/>
      <c r="AE208" s="85">
        <f>IF(W208="(PASS)",0,1)</f>
        <v>0</v>
      </c>
      <c r="AF208" s="93"/>
      <c r="AG208" s="93"/>
      <c r="AH208" s="93"/>
      <c r="AI208" s="93"/>
      <c r="AJ208" s="93"/>
    </row>
    <row r="209" spans="1:36" ht="15" customHeight="1">
      <c r="A209" s="86"/>
      <c r="B209" s="92"/>
      <c r="AC209" s="96"/>
      <c r="AD209" s="93"/>
      <c r="AF209" s="85"/>
      <c r="AG209" s="85"/>
      <c r="AH209" s="85"/>
      <c r="AI209" s="85"/>
      <c r="AJ209" s="85"/>
    </row>
    <row r="210" spans="1:36" ht="15" customHeight="1">
      <c r="A210" s="86"/>
      <c r="B210" s="92"/>
      <c r="C210" s="36" t="s">
        <v>248</v>
      </c>
      <c r="D210" s="36"/>
      <c r="E210" s="36"/>
      <c r="F210" s="36"/>
      <c r="G210" s="36"/>
      <c r="H210" s="36"/>
      <c r="I210" s="36"/>
      <c r="J210" s="36"/>
      <c r="K210" s="37" t="s">
        <v>13</v>
      </c>
      <c r="L210" s="192" t="str">
        <f>IF(J198&gt;0,J198+8/9*(J202+J203),"N.A.")</f>
        <v>N.A.</v>
      </c>
      <c r="M210" s="192"/>
      <c r="N210" s="192"/>
      <c r="O210" s="36"/>
      <c r="P210" s="180" t="str">
        <f>IF(ISNUMBER(L210),IF(ABS(L210)&lt;IR,"&lt;","&gt;"),"")</f>
        <v/>
      </c>
      <c r="Q210" s="36"/>
      <c r="R210" s="193">
        <f>IR</f>
        <v>1</v>
      </c>
      <c r="S210" s="194"/>
      <c r="T210" s="194"/>
      <c r="U210" s="36"/>
      <c r="V210" s="36"/>
      <c r="W210" s="195" t="str">
        <f>IF(L210&lt;&gt;"N.A.",IF(ABS(L210)&lt;IR,"(PASS)","(FAIL)"),"(PASS)")</f>
        <v>(PASS)</v>
      </c>
      <c r="X210" s="195"/>
      <c r="Y210" s="85"/>
      <c r="Z210" s="36" t="s">
        <v>721</v>
      </c>
      <c r="AA210" s="85"/>
      <c r="AB210" s="85"/>
      <c r="AC210" s="96"/>
      <c r="AD210" s="93"/>
      <c r="AE210" s="85">
        <f>IF(W210="(PASS)",0,1)</f>
        <v>0</v>
      </c>
      <c r="AF210" s="85"/>
      <c r="AG210" s="85"/>
      <c r="AH210" s="85"/>
      <c r="AI210" s="85"/>
      <c r="AJ210" s="85"/>
    </row>
    <row r="211" spans="1:36" ht="15" customHeight="1">
      <c r="A211" s="86"/>
      <c r="B211" s="92"/>
      <c r="C211" s="36" t="s">
        <v>249</v>
      </c>
      <c r="D211" s="36"/>
      <c r="E211" s="36"/>
      <c r="F211" s="36"/>
      <c r="G211" s="36"/>
      <c r="H211" s="36"/>
      <c r="I211" s="36"/>
      <c r="J211" s="36"/>
      <c r="K211" s="37" t="s">
        <v>13</v>
      </c>
      <c r="L211" s="192" t="str">
        <f>IF(J198&gt;0,J198/2+(J202+J203),"N.A.")</f>
        <v>N.A.</v>
      </c>
      <c r="M211" s="192"/>
      <c r="N211" s="192"/>
      <c r="O211" s="36"/>
      <c r="P211" s="180" t="str">
        <f>IF(ISNUMBER(L211),IF(ABS(L211)&lt;IR,"&lt;","&gt;"),"")</f>
        <v/>
      </c>
      <c r="Q211" s="36"/>
      <c r="R211" s="193">
        <f>IR</f>
        <v>1</v>
      </c>
      <c r="S211" s="194"/>
      <c r="T211" s="194"/>
      <c r="U211" s="36"/>
      <c r="V211" s="36"/>
      <c r="W211" s="195" t="str">
        <f>IF(L211&lt;&gt;"N.A.",IF(ABS(L211)&lt;IR,"(PASS)","(FAIL)"),"(PASS)")</f>
        <v>(PASS)</v>
      </c>
      <c r="X211" s="195"/>
      <c r="Y211" s="85"/>
      <c r="Z211" s="36" t="s">
        <v>721</v>
      </c>
      <c r="AA211" s="85"/>
      <c r="AB211" s="85"/>
      <c r="AC211" s="96"/>
      <c r="AD211" s="93"/>
      <c r="AE211" s="85">
        <f>IF(W211="(PASS)",0,1)</f>
        <v>0</v>
      </c>
      <c r="AF211" s="85"/>
      <c r="AG211" s="85"/>
      <c r="AH211" s="85"/>
      <c r="AI211" s="85"/>
      <c r="AJ211" s="85"/>
    </row>
    <row r="212" spans="1:36" ht="15" customHeight="1">
      <c r="A212" s="86"/>
      <c r="B212" s="92"/>
      <c r="AC212" s="96"/>
      <c r="AD212" s="93"/>
      <c r="AE212" s="85"/>
      <c r="AF212" s="85"/>
      <c r="AG212" s="85"/>
      <c r="AH212" s="85"/>
      <c r="AI212" s="85"/>
      <c r="AJ212" s="85"/>
    </row>
    <row r="213" spans="1:36" ht="15" customHeight="1">
      <c r="A213" s="86"/>
      <c r="B213" s="92"/>
      <c r="C213" s="185" t="s">
        <v>144</v>
      </c>
      <c r="D213" s="185"/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185"/>
      <c r="Q213" s="185"/>
      <c r="R213" s="185"/>
      <c r="S213" s="185"/>
      <c r="T213" s="185"/>
      <c r="U213" s="185"/>
      <c r="V213" s="185"/>
      <c r="W213" s="185"/>
      <c r="X213" s="185"/>
      <c r="Y213" s="185"/>
      <c r="Z213" s="185"/>
      <c r="AA213" s="185"/>
      <c r="AB213" s="185"/>
      <c r="AC213" s="96"/>
      <c r="AD213" s="85"/>
      <c r="AF213" s="85"/>
      <c r="AG213" s="85"/>
      <c r="AH213" s="85"/>
      <c r="AI213" s="85"/>
      <c r="AJ213" s="85"/>
    </row>
    <row r="214" spans="1:36" ht="15" customHeight="1">
      <c r="A214" s="86"/>
      <c r="B214" s="92"/>
      <c r="AC214" s="96"/>
      <c r="AD214" s="85"/>
      <c r="AF214" s="85"/>
      <c r="AG214" s="85"/>
      <c r="AH214" s="85"/>
      <c r="AI214" s="85"/>
      <c r="AJ214" s="85"/>
    </row>
    <row r="215" spans="1:36" ht="15" customHeight="1">
      <c r="A215" s="86"/>
      <c r="B215" s="92"/>
      <c r="C215" s="36" t="s">
        <v>251</v>
      </c>
      <c r="D215" s="85"/>
      <c r="E215" s="85"/>
      <c r="F215" s="85"/>
      <c r="G215" s="85"/>
      <c r="H215" s="85"/>
      <c r="K215" s="37" t="s">
        <v>13</v>
      </c>
      <c r="L215" s="199">
        <f>Qy/V173</f>
        <v>0</v>
      </c>
      <c r="M215" s="199"/>
      <c r="N215" s="199"/>
      <c r="O215" s="36"/>
      <c r="P215" s="122" t="str">
        <f>IF(L215&lt;1,"&lt;","&gt;")</f>
        <v>&lt;</v>
      </c>
      <c r="R215" s="194">
        <f>IR</f>
        <v>1</v>
      </c>
      <c r="S215" s="194"/>
      <c r="T215" s="194"/>
      <c r="W215" s="195" t="str">
        <f>IF(L215&lt;&gt;"N.A.",IF(ABS(L215)&lt;IR,"(PASS)","(FAIL)"),"(PASS)")</f>
        <v>(PASS)</v>
      </c>
      <c r="X215" s="195"/>
      <c r="Y215" s="85"/>
      <c r="Z215" s="85"/>
      <c r="AA215" s="85"/>
      <c r="AB215" s="101"/>
      <c r="AC215" s="96"/>
      <c r="AD215" s="85"/>
      <c r="AE215" s="85">
        <f>IF(W215="(PASS)",0,1)</f>
        <v>0</v>
      </c>
      <c r="AF215" s="85"/>
      <c r="AG215" s="85"/>
      <c r="AH215" s="85"/>
      <c r="AI215" s="85"/>
      <c r="AJ215" s="85"/>
    </row>
    <row r="216" spans="1:36" ht="15" customHeight="1">
      <c r="A216" s="86"/>
      <c r="B216" s="92"/>
      <c r="C216" s="36" t="s">
        <v>252</v>
      </c>
      <c r="D216" s="85"/>
      <c r="E216" s="85"/>
      <c r="F216" s="85"/>
      <c r="G216" s="85"/>
      <c r="H216" s="85"/>
      <c r="K216" s="37" t="s">
        <v>13</v>
      </c>
      <c r="L216" s="199">
        <f>Qx/V174</f>
        <v>0</v>
      </c>
      <c r="M216" s="199"/>
      <c r="N216" s="199"/>
      <c r="O216" s="36"/>
      <c r="P216" s="122" t="str">
        <f>IF(L216&lt;1,"&lt;","&gt;")</f>
        <v>&lt;</v>
      </c>
      <c r="R216" s="194">
        <f>IR</f>
        <v>1</v>
      </c>
      <c r="S216" s="194"/>
      <c r="T216" s="194"/>
      <c r="W216" s="195" t="str">
        <f>IF(L216&lt;&gt;"N.A.",IF(ABS(L216)&lt;IR,"(PASS)","(FAIL)"),"(PASS)")</f>
        <v>(PASS)</v>
      </c>
      <c r="X216" s="195"/>
      <c r="Y216" s="85"/>
      <c r="Z216" s="85"/>
      <c r="AA216" s="85"/>
      <c r="AB216" s="36"/>
      <c r="AC216" s="96"/>
      <c r="AD216" s="85"/>
      <c r="AE216" s="85">
        <f>IF(W216="(PASS)",0,1)</f>
        <v>0</v>
      </c>
      <c r="AF216" s="85"/>
      <c r="AG216" s="85"/>
      <c r="AH216" s="85"/>
      <c r="AI216" s="85"/>
      <c r="AJ216" s="85"/>
    </row>
    <row r="217" spans="1:36" ht="15" customHeight="1">
      <c r="A217" s="86"/>
      <c r="B217" s="9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  <c r="AB217" s="85"/>
      <c r="AC217" s="90"/>
      <c r="AD217" s="85"/>
      <c r="AE217" s="85"/>
      <c r="AF217" s="85"/>
      <c r="AG217" s="85"/>
      <c r="AH217" s="85"/>
      <c r="AI217" s="85"/>
      <c r="AJ217" s="85"/>
    </row>
    <row r="218" spans="1:36" ht="15" customHeight="1">
      <c r="A218" s="86"/>
      <c r="B218" s="89"/>
      <c r="C218" s="185" t="s">
        <v>145</v>
      </c>
      <c r="D218" s="185"/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185"/>
      <c r="Q218" s="185"/>
      <c r="R218" s="185"/>
      <c r="S218" s="185"/>
      <c r="T218" s="185"/>
      <c r="U218" s="185"/>
      <c r="V218" s="185"/>
      <c r="W218" s="185"/>
      <c r="X218" s="185"/>
      <c r="Y218" s="185"/>
      <c r="Z218" s="185"/>
      <c r="AA218" s="185"/>
      <c r="AB218" s="185"/>
      <c r="AC218" s="99"/>
      <c r="AD218" s="85"/>
      <c r="AF218" s="85"/>
      <c r="AG218" s="85"/>
      <c r="AH218" s="85"/>
      <c r="AI218" s="85"/>
      <c r="AJ218" s="85"/>
    </row>
    <row r="219" spans="1:36" ht="15" customHeight="1">
      <c r="A219" s="86"/>
      <c r="B219" s="92"/>
      <c r="AC219" s="100"/>
      <c r="AD219" s="85"/>
      <c r="AE219" s="85"/>
      <c r="AF219" s="85"/>
      <c r="AG219" s="85"/>
      <c r="AH219" s="85"/>
      <c r="AI219" s="85"/>
      <c r="AJ219" s="85"/>
    </row>
    <row r="220" spans="1:36" ht="15" customHeight="1">
      <c r="A220" s="86"/>
      <c r="B220" s="92"/>
      <c r="C220" s="200" t="str">
        <f>IF(AE220=0,"(PASS)","(FAIL)") &amp; " --&gt; Max IR= "&amp; ROUND(MAX(MAX(L206,L207,L208,L210,L211,L215,L216),-MIN(L206,L207,L208,L210,L211,R215,R216)),3) &amp; "  (IR allowable= " &amp; IR &amp; ")"</f>
        <v>(PASS) --&gt; Max IR= 0.893  (IR allowable= 1)</v>
      </c>
      <c r="D220" s="201"/>
      <c r="E220" s="201"/>
      <c r="F220" s="201"/>
      <c r="G220" s="201"/>
      <c r="H220" s="201"/>
      <c r="I220" s="201"/>
      <c r="J220" s="201"/>
      <c r="K220" s="201"/>
      <c r="L220" s="201"/>
      <c r="M220" s="201"/>
      <c r="N220" s="201"/>
      <c r="O220" s="201"/>
      <c r="P220" s="201"/>
      <c r="Q220" s="201"/>
      <c r="R220" s="201"/>
      <c r="S220" s="201"/>
      <c r="T220" s="201"/>
      <c r="U220" s="201"/>
      <c r="V220" s="201"/>
      <c r="W220" s="201"/>
      <c r="X220" s="201"/>
      <c r="Y220" s="201"/>
      <c r="Z220" s="201"/>
      <c r="AA220" s="201"/>
      <c r="AB220" s="202"/>
      <c r="AC220" s="100"/>
      <c r="AD220" s="85"/>
      <c r="AE220" s="85">
        <f>SUM(AE206:AE216)</f>
        <v>0</v>
      </c>
      <c r="AF220" s="85"/>
      <c r="AG220" s="85"/>
      <c r="AH220" s="85"/>
      <c r="AI220" s="85"/>
      <c r="AJ220" s="85"/>
    </row>
    <row r="221" spans="1:36" ht="15" customHeight="1">
      <c r="A221" s="86"/>
      <c r="B221" s="92"/>
      <c r="C221" s="203"/>
      <c r="D221" s="204"/>
      <c r="E221" s="204"/>
      <c r="F221" s="204"/>
      <c r="G221" s="204"/>
      <c r="H221" s="204"/>
      <c r="I221" s="204"/>
      <c r="J221" s="204"/>
      <c r="K221" s="204"/>
      <c r="L221" s="204"/>
      <c r="M221" s="204"/>
      <c r="N221" s="204"/>
      <c r="O221" s="204"/>
      <c r="P221" s="204"/>
      <c r="Q221" s="204"/>
      <c r="R221" s="204"/>
      <c r="S221" s="204"/>
      <c r="T221" s="204"/>
      <c r="U221" s="204"/>
      <c r="V221" s="204"/>
      <c r="W221" s="204"/>
      <c r="X221" s="204"/>
      <c r="Y221" s="204"/>
      <c r="Z221" s="204"/>
      <c r="AA221" s="204"/>
      <c r="AB221" s="205"/>
      <c r="AC221" s="99"/>
      <c r="AD221" s="85"/>
      <c r="AE221" s="85"/>
      <c r="AF221" s="85"/>
      <c r="AG221" s="85"/>
      <c r="AH221" s="85"/>
      <c r="AI221" s="85"/>
      <c r="AJ221" s="85"/>
    </row>
    <row r="222" spans="1:36" ht="15" customHeight="1">
      <c r="A222" s="86"/>
      <c r="B222" s="92"/>
      <c r="AC222" s="100"/>
      <c r="AE222" s="85"/>
      <c r="AG222" s="102"/>
      <c r="AH222" s="85"/>
      <c r="AI222" s="85"/>
      <c r="AJ222" s="85"/>
    </row>
    <row r="223" spans="1:36" ht="15" customHeight="1">
      <c r="A223" s="86"/>
      <c r="B223" s="92"/>
      <c r="AC223" s="100"/>
      <c r="AG223" s="85"/>
      <c r="AH223" s="85"/>
      <c r="AI223" s="85"/>
      <c r="AJ223" s="85"/>
    </row>
    <row r="224" spans="1:36" ht="15" customHeight="1">
      <c r="A224" s="86"/>
      <c r="B224" s="92"/>
      <c r="AC224" s="96"/>
      <c r="AG224" s="85"/>
      <c r="AH224" s="85"/>
      <c r="AI224" s="85"/>
      <c r="AJ224" s="85"/>
    </row>
    <row r="225" spans="1:36" ht="15" customHeight="1">
      <c r="A225" s="86"/>
      <c r="B225" s="92"/>
      <c r="AC225" s="90"/>
      <c r="AG225" s="102"/>
      <c r="AH225" s="85"/>
      <c r="AI225" s="85"/>
      <c r="AJ225" s="85"/>
    </row>
    <row r="226" spans="1:36" ht="15" customHeight="1">
      <c r="A226" s="86"/>
      <c r="B226" s="92"/>
      <c r="AC226" s="90"/>
      <c r="AG226" s="85"/>
      <c r="AH226" s="85"/>
      <c r="AI226" s="85"/>
      <c r="AJ226" s="85"/>
    </row>
    <row r="227" spans="1:36" ht="15" customHeight="1">
      <c r="A227" s="86"/>
      <c r="B227" s="92"/>
      <c r="AC227" s="90"/>
      <c r="AG227" s="85"/>
      <c r="AH227" s="85"/>
      <c r="AI227" s="85"/>
      <c r="AJ227" s="85"/>
    </row>
    <row r="228" spans="1:36" ht="15" customHeight="1">
      <c r="A228" s="86"/>
      <c r="B228" s="89"/>
      <c r="AC228" s="90"/>
      <c r="AG228" s="102"/>
      <c r="AH228" s="85"/>
      <c r="AI228" s="85"/>
      <c r="AJ228" s="85"/>
    </row>
    <row r="229" spans="1:36" ht="15" customHeight="1">
      <c r="A229" s="86"/>
      <c r="B229" s="92"/>
      <c r="AC229" s="90"/>
      <c r="AG229" s="102"/>
      <c r="AH229" s="85"/>
      <c r="AI229" s="85"/>
      <c r="AJ229" s="85"/>
    </row>
    <row r="230" spans="1:36" ht="15" customHeight="1">
      <c r="A230" s="86"/>
      <c r="B230" s="92"/>
      <c r="AC230" s="90"/>
      <c r="AD230" s="85"/>
      <c r="AE230" s="85"/>
      <c r="AF230" s="85"/>
      <c r="AG230" s="85"/>
      <c r="AH230" s="85"/>
      <c r="AI230" s="85"/>
      <c r="AJ230" s="85"/>
    </row>
    <row r="231" spans="1:36" ht="15" customHeight="1">
      <c r="A231" s="86"/>
      <c r="B231" s="92"/>
      <c r="AC231" s="90"/>
      <c r="AD231" s="85"/>
      <c r="AE231" s="85"/>
      <c r="AF231" s="85"/>
      <c r="AG231" s="85"/>
      <c r="AH231" s="85"/>
      <c r="AI231" s="85"/>
      <c r="AJ231" s="85"/>
    </row>
    <row r="232" spans="1:36" ht="15" customHeight="1">
      <c r="A232" s="86"/>
      <c r="B232" s="92"/>
      <c r="AC232" s="90"/>
      <c r="AD232" s="85"/>
      <c r="AE232" s="85"/>
      <c r="AF232" s="85"/>
      <c r="AG232" s="85"/>
      <c r="AH232" s="85"/>
      <c r="AI232" s="85"/>
      <c r="AJ232" s="85"/>
    </row>
    <row r="233" spans="1:36" ht="15" customHeight="1">
      <c r="A233" s="86"/>
      <c r="B233" s="92"/>
      <c r="AC233" s="90"/>
      <c r="AD233" s="85"/>
      <c r="AE233" s="85"/>
      <c r="AF233" s="85"/>
      <c r="AG233" s="85"/>
      <c r="AH233" s="85"/>
      <c r="AI233" s="85"/>
      <c r="AJ233" s="85"/>
    </row>
    <row r="234" spans="1:36" ht="15" customHeight="1">
      <c r="A234" s="86"/>
      <c r="B234" s="92"/>
      <c r="AC234" s="90"/>
      <c r="AD234" s="85"/>
      <c r="AE234" s="85"/>
      <c r="AF234" s="85"/>
      <c r="AG234" s="85"/>
      <c r="AH234" s="85"/>
      <c r="AI234" s="85"/>
      <c r="AJ234" s="85"/>
    </row>
    <row r="235" spans="1:36" ht="15" customHeight="1">
      <c r="A235" s="86"/>
      <c r="B235" s="92"/>
      <c r="C235" s="121"/>
      <c r="D235" s="121"/>
      <c r="E235" s="121"/>
      <c r="F235" s="121"/>
      <c r="G235" s="121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21"/>
      <c r="W235" s="121"/>
      <c r="X235" s="121"/>
      <c r="Y235" s="121"/>
      <c r="Z235" s="121"/>
      <c r="AA235" s="121"/>
      <c r="AB235" s="121"/>
      <c r="AC235" s="90"/>
      <c r="AD235" s="85"/>
      <c r="AE235" s="85"/>
      <c r="AF235" s="85"/>
      <c r="AG235" s="85"/>
      <c r="AH235" s="85"/>
      <c r="AI235" s="85"/>
      <c r="AJ235" s="85"/>
    </row>
    <row r="236" spans="1:36" ht="15" customHeight="1">
      <c r="A236" s="86"/>
      <c r="B236" s="92"/>
      <c r="AC236" s="90"/>
      <c r="AD236" s="85"/>
      <c r="AE236" s="85"/>
      <c r="AF236" s="85"/>
      <c r="AG236" s="85"/>
      <c r="AH236" s="85"/>
      <c r="AI236" s="85"/>
      <c r="AJ236" s="85"/>
    </row>
    <row r="237" spans="1:36" ht="15" customHeight="1">
      <c r="A237" s="86"/>
      <c r="B237" s="89"/>
      <c r="AC237" s="90"/>
      <c r="AD237" s="85"/>
      <c r="AE237" s="85"/>
      <c r="AF237" s="85"/>
      <c r="AG237" s="85"/>
      <c r="AH237" s="85"/>
      <c r="AI237" s="85"/>
      <c r="AJ237" s="85"/>
    </row>
    <row r="238" spans="1:36" ht="15" customHeight="1">
      <c r="A238" s="86"/>
      <c r="B238" s="89"/>
      <c r="AC238" s="90"/>
      <c r="AD238" s="85"/>
      <c r="AE238" s="85"/>
      <c r="AF238" s="85"/>
      <c r="AG238" s="85"/>
      <c r="AH238" s="85"/>
      <c r="AI238" s="85"/>
      <c r="AJ238" s="85"/>
    </row>
    <row r="239" spans="1:36" ht="15" customHeight="1">
      <c r="A239" s="86"/>
      <c r="B239" s="89"/>
      <c r="AC239" s="90"/>
      <c r="AD239" s="85"/>
      <c r="AF239" s="85"/>
      <c r="AG239" s="85"/>
      <c r="AH239" s="85"/>
      <c r="AI239" s="85"/>
      <c r="AJ239" s="85"/>
    </row>
    <row r="240" spans="1:36" ht="15" customHeight="1" thickBot="1">
      <c r="A240" s="86"/>
      <c r="B240" s="104"/>
      <c r="C240" s="105"/>
      <c r="D240" s="105"/>
      <c r="E240" s="105"/>
      <c r="F240" s="105"/>
      <c r="G240" s="105"/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05"/>
      <c r="U240" s="105"/>
      <c r="V240" s="105"/>
      <c r="W240" s="105"/>
      <c r="X240" s="105"/>
      <c r="Y240" s="106"/>
      <c r="Z240" s="106"/>
      <c r="AA240" s="106"/>
      <c r="AB240" s="106"/>
      <c r="AC240" s="107" t="s">
        <v>234</v>
      </c>
      <c r="AD240" s="85"/>
      <c r="AE240" s="85"/>
      <c r="AF240" s="85"/>
      <c r="AG240" s="85"/>
      <c r="AH240" s="85"/>
      <c r="AI240" s="85"/>
      <c r="AJ240" s="85"/>
    </row>
  </sheetData>
  <customSheetViews>
    <customSheetView guid="{D127AEA6-C2DF-11D2-8A4B-444553540000}" scale="125" printArea="1" showRuler="0">
      <selection activeCell="Z16" sqref="Z16:AA16"/>
      <pageMargins left="0.57677056000000004" right="0.15748031496063" top="5.1180008748906401E-2" bottom="0.511811023622047" header="0" footer="0.45"/>
      <pageSetup paperSize="9" orientation="portrait" r:id="rId1"/>
      <headerFooter alignWithMargins="0">
        <oddFooter>&amp;L&amp;F</oddFooter>
      </headerFooter>
    </customSheetView>
    <customSheetView guid="{627FF738-70E0-445C-84A2-4350329382C4}" scale="115" printArea="1" view="pageBreakPreview" topLeftCell="A157">
      <selection activeCell="P43" sqref="P43"/>
      <rowBreaks count="3" manualBreakCount="3">
        <brk id="52" max="28" man="1"/>
        <brk id="99" max="28" man="1"/>
        <brk id="146" max="28" man="1"/>
      </rowBreaks>
      <pageMargins left="0.6" right="0.2" top="0.4" bottom="0.15" header="0.4" footer="0.15"/>
      <pageSetup paperSize="9" fitToHeight="4" orientation="portrait" r:id="rId2"/>
      <headerFooter scaleWithDoc="0" alignWithMargins="0"/>
    </customSheetView>
    <customSheetView guid="{5CEDBF90-28E0-498A-BF62-8EA3499BFA7F}" scale="115" printArea="1" view="pageBreakPreview" topLeftCell="A160">
      <selection activeCell="AA177" sqref="AA177"/>
      <rowBreaks count="3" manualBreakCount="3">
        <brk id="52" max="28" man="1"/>
        <brk id="99" max="28" man="1"/>
        <brk id="146" max="28" man="1"/>
      </rowBreaks>
      <pageMargins left="0.6" right="0.2" top="0.4" bottom="0.15" header="0.4" footer="0.15"/>
      <pageSetup paperSize="9" fitToHeight="4" orientation="portrait" r:id="rId3"/>
      <headerFooter scaleWithDoc="0" alignWithMargins="0"/>
    </customSheetView>
    <customSheetView guid="{D9B23BE2-DE21-11D3-BB22-0050DA3D5129}" showPageBreaks="1" printArea="1" view="pageBreakPreview" showRuler="0" topLeftCell="A28">
      <selection activeCell="G34" sqref="G34"/>
      <pageMargins left="0.31496062992125984" right="0.27559055118110237" top="0.31496062992125984" bottom="0.62992125984251968" header="0" footer="0"/>
      <printOptions horizontalCentered="1"/>
      <pageSetup paperSize="9" orientation="portrait" r:id="rId4"/>
      <headerFooter alignWithMargins="0"/>
    </customSheetView>
    <customSheetView guid="{C2D7D384-8011-11D3-B45A-D0656AEFEC34}" showPageBreaks="1" printArea="1" view="pageBreakPreview" showRuler="0">
      <selection activeCell="B6" sqref="B6:J6"/>
      <pageMargins left="0.31496062992125984" right="0.27559055118110237" top="0.31496062992125984" bottom="0.62992125984251968" header="0" footer="0"/>
      <printOptions horizontalCentered="1"/>
      <pageSetup paperSize="9" orientation="portrait" r:id="rId5"/>
      <headerFooter alignWithMargins="0"/>
    </customSheetView>
    <customSheetView guid="{3B78D0E4-16CC-11D4-B7CE-0050DA395D67}" showPageBreaks="1" printArea="1" view="pageBreakPreview" showRuler="0">
      <selection activeCell="A5" sqref="A5:IV5"/>
      <pageMargins left="0.31496062992125984" right="0.27559055118110237" top="0.31496062992125984" bottom="0.62992125984251968" header="0" footer="0"/>
      <printOptions horizontalCentered="1"/>
      <pageSetup paperSize="9" orientation="portrait" r:id="rId6"/>
      <headerFooter alignWithMargins="0"/>
    </customSheetView>
    <customSheetView guid="{A9EC0360-97A2-11D4-9FCE-0050DA3D4DED}" showPageBreaks="1" printArea="1" view="pageBreakPreview" showRuler="0">
      <selection activeCell="D10" sqref="D10"/>
      <pageMargins left="0.31496062992125984" right="0.27559055118110237" top="0.31496062992125984" bottom="0.62992125984251968" header="0" footer="0"/>
      <printOptions horizontalCentered="1"/>
      <pageSetup paperSize="9" orientation="portrait" r:id="rId7"/>
      <headerFooter alignWithMargins="0"/>
    </customSheetView>
    <customSheetView guid="{B43D84F6-ECE1-4184-859D-4B803B980EF6}" scale="125" printArea="1" showRuler="0">
      <selection activeCell="E39" sqref="E39:J39"/>
      <pageMargins left="0.8" right="0.2" top="0.25" bottom="0.5" header="0.25" footer="0.4"/>
      <pageSetup paperSize="9" orientation="portrait" r:id="rId8"/>
      <headerFooter alignWithMargins="0">
        <oddFooter>&amp;L&amp;F</oddFooter>
      </headerFooter>
    </customSheetView>
    <customSheetView guid="{43C93194-A011-416F-BE12-1C70E0674F2F}" printArea="1" view="pageBreakPreview">
      <selection activeCell="U89" sqref="U89:V89"/>
      <rowBreaks count="3" manualBreakCount="3">
        <brk id="52" max="28" man="1"/>
        <brk id="99" max="28" man="1"/>
        <brk id="146" max="28" man="1"/>
      </rowBreaks>
      <pageMargins left="0.6" right="0.2" top="0.4" bottom="0.15" header="0.4" footer="0.15"/>
      <pageSetup paperSize="9" fitToHeight="4" orientation="portrait" r:id="rId9"/>
      <headerFooter scaleWithDoc="0" alignWithMargins="0"/>
    </customSheetView>
    <customSheetView guid="{EE5FEB6A-0792-4F97-943A-2968EFDBB43D}" scale="115" printArea="1" view="pageBreakPreview">
      <selection activeCell="W60" sqref="W60"/>
      <rowBreaks count="3" manualBreakCount="3">
        <brk id="52" max="28" man="1"/>
        <brk id="99" max="28" man="1"/>
        <brk id="146" max="28" man="1"/>
      </rowBreaks>
      <pageMargins left="0.6" right="0.2" top="0.4" bottom="0.15" header="0.4" footer="0.15"/>
      <pageSetup paperSize="9" fitToHeight="4" orientation="portrait" r:id="rId10"/>
      <headerFooter scaleWithDoc="0" alignWithMargins="0"/>
    </customSheetView>
    <customSheetView guid="{8241F37F-7421-44A0-900E-F57F5FAD95E3}" scale="125" printArea="1" showRuler="0">
      <selection activeCell="C9" sqref="C9"/>
      <pageMargins left="0.82677165354330717" right="0.15748031496062992" top="0.55118110236220474" bottom="0.51181102362204722" header="0.51181102362204722" footer="0.51181102362204722"/>
      <pageSetup paperSize="9" orientation="portrait" r:id="rId11"/>
      <headerFooter alignWithMargins="0">
        <oddFooter>&amp;L&amp;F</oddFooter>
      </headerFooter>
    </customSheetView>
    <customSheetView guid="{E8C94553-FFEA-4948-9CE9-31EDF7671BDE}" scale="125" showRuler="0">
      <selection activeCell="Z16" sqref="Z16:AA16"/>
      <pageMargins left="0.57677056000000004" right="0.15748031496063" top="5.1180008748906401E-2" bottom="0.511811023622047" header="0" footer="0.45"/>
      <pageSetup paperSize="9" orientation="portrait" r:id="rId12"/>
      <headerFooter alignWithMargins="0">
        <oddFooter>&amp;L&amp;F</oddFooter>
      </headerFooter>
    </customSheetView>
  </customSheetViews>
  <mergeCells count="368">
    <mergeCell ref="H153:J153"/>
    <mergeCell ref="C69:E69"/>
    <mergeCell ref="F69:G69"/>
    <mergeCell ref="H69:I69"/>
    <mergeCell ref="J69:K69"/>
    <mergeCell ref="F72:G72"/>
    <mergeCell ref="H126:J126"/>
    <mergeCell ref="H128:J128"/>
    <mergeCell ref="H137:J137"/>
    <mergeCell ref="H136:J136"/>
    <mergeCell ref="H132:J132"/>
    <mergeCell ref="H133:J133"/>
    <mergeCell ref="H135:J135"/>
    <mergeCell ref="H130:J130"/>
    <mergeCell ref="H85:J85"/>
    <mergeCell ref="H86:J86"/>
    <mergeCell ref="H88:J88"/>
    <mergeCell ref="H87:J87"/>
    <mergeCell ref="H104:J104"/>
    <mergeCell ref="I94:K94"/>
    <mergeCell ref="I95:K95"/>
    <mergeCell ref="I96:K96"/>
    <mergeCell ref="I97:K97"/>
    <mergeCell ref="I92:K92"/>
    <mergeCell ref="I93:K93"/>
    <mergeCell ref="H39:J39"/>
    <mergeCell ref="AA68:AB75"/>
    <mergeCell ref="N75:O75"/>
    <mergeCell ref="P75:Q75"/>
    <mergeCell ref="R75:S75"/>
    <mergeCell ref="T75:U75"/>
    <mergeCell ref="V75:W75"/>
    <mergeCell ref="N56:P56"/>
    <mergeCell ref="L69:M69"/>
    <mergeCell ref="N69:O69"/>
    <mergeCell ref="P69:Q69"/>
    <mergeCell ref="N61:P61"/>
    <mergeCell ref="R69:S69"/>
    <mergeCell ref="T69:U69"/>
    <mergeCell ref="V69:W69"/>
    <mergeCell ref="V74:W74"/>
    <mergeCell ref="N74:O74"/>
    <mergeCell ref="P74:Q74"/>
    <mergeCell ref="R74:S74"/>
    <mergeCell ref="T74:U74"/>
    <mergeCell ref="V73:W73"/>
    <mergeCell ref="P72:Q72"/>
    <mergeCell ref="R72:S72"/>
    <mergeCell ref="W96:Y96"/>
    <mergeCell ref="W92:Y92"/>
    <mergeCell ref="N68:O68"/>
    <mergeCell ref="P68:Q68"/>
    <mergeCell ref="R68:S68"/>
    <mergeCell ref="T68:U68"/>
    <mergeCell ref="V68:W68"/>
    <mergeCell ref="V72:W72"/>
    <mergeCell ref="T70:U70"/>
    <mergeCell ref="V70:W70"/>
    <mergeCell ref="N72:O72"/>
    <mergeCell ref="P71:Q71"/>
    <mergeCell ref="R71:S71"/>
    <mergeCell ref="T71:U71"/>
    <mergeCell ref="V71:W71"/>
    <mergeCell ref="N71:O71"/>
    <mergeCell ref="N70:O70"/>
    <mergeCell ref="P70:Q70"/>
    <mergeCell ref="R70:S70"/>
    <mergeCell ref="N73:O73"/>
    <mergeCell ref="H83:J83"/>
    <mergeCell ref="V83:X83"/>
    <mergeCell ref="X74:Z74"/>
    <mergeCell ref="H74:I74"/>
    <mergeCell ref="J74:K74"/>
    <mergeCell ref="L74:M74"/>
    <mergeCell ref="X73:Z73"/>
    <mergeCell ref="V80:X80"/>
    <mergeCell ref="H81:J81"/>
    <mergeCell ref="V81:X81"/>
    <mergeCell ref="P73:Q73"/>
    <mergeCell ref="R73:S73"/>
    <mergeCell ref="H73:I73"/>
    <mergeCell ref="H82:J82"/>
    <mergeCell ref="T73:U73"/>
    <mergeCell ref="V82:X82"/>
    <mergeCell ref="C78:AB78"/>
    <mergeCell ref="H80:J80"/>
    <mergeCell ref="F75:G75"/>
    <mergeCell ref="H75:I75"/>
    <mergeCell ref="J75:K75"/>
    <mergeCell ref="C70:E73"/>
    <mergeCell ref="F70:G70"/>
    <mergeCell ref="H70:I70"/>
    <mergeCell ref="F71:G71"/>
    <mergeCell ref="L75:M75"/>
    <mergeCell ref="J70:K70"/>
    <mergeCell ref="L70:M70"/>
    <mergeCell ref="C74:E74"/>
    <mergeCell ref="F74:G74"/>
    <mergeCell ref="J71:K71"/>
    <mergeCell ref="L71:M71"/>
    <mergeCell ref="J73:K73"/>
    <mergeCell ref="L73:M73"/>
    <mergeCell ref="C75:E75"/>
    <mergeCell ref="H72:I72"/>
    <mergeCell ref="J72:K72"/>
    <mergeCell ref="L72:M72"/>
    <mergeCell ref="F73:G73"/>
    <mergeCell ref="AA67:AB67"/>
    <mergeCell ref="K62:M62"/>
    <mergeCell ref="K63:M63"/>
    <mergeCell ref="C57:G57"/>
    <mergeCell ref="C63:G63"/>
    <mergeCell ref="C58:G62"/>
    <mergeCell ref="N62:P62"/>
    <mergeCell ref="N63:P63"/>
    <mergeCell ref="Q57:S57"/>
    <mergeCell ref="Q58:S58"/>
    <mergeCell ref="H61:J61"/>
    <mergeCell ref="H62:J62"/>
    <mergeCell ref="H63:J63"/>
    <mergeCell ref="K57:M57"/>
    <mergeCell ref="K58:M58"/>
    <mergeCell ref="K59:M59"/>
    <mergeCell ref="K60:M60"/>
    <mergeCell ref="K61:M61"/>
    <mergeCell ref="C67:E67"/>
    <mergeCell ref="F67:G67"/>
    <mergeCell ref="H67:I67"/>
    <mergeCell ref="J67:K67"/>
    <mergeCell ref="L67:M67"/>
    <mergeCell ref="N67:O67"/>
    <mergeCell ref="P67:Q67"/>
    <mergeCell ref="R67:S67"/>
    <mergeCell ref="T67:U67"/>
    <mergeCell ref="E11:AB11"/>
    <mergeCell ref="C13:AB13"/>
    <mergeCell ref="H14:J14"/>
    <mergeCell ref="V14:X14"/>
    <mergeCell ref="H15:J15"/>
    <mergeCell ref="H22:J22"/>
    <mergeCell ref="V28:X28"/>
    <mergeCell ref="H28:J28"/>
    <mergeCell ref="C24:AB24"/>
    <mergeCell ref="H16:J16"/>
    <mergeCell ref="H17:J17"/>
    <mergeCell ref="V17:X17"/>
    <mergeCell ref="H18:J18"/>
    <mergeCell ref="V18:X18"/>
    <mergeCell ref="C20:AB20"/>
    <mergeCell ref="H21:J21"/>
    <mergeCell ref="H25:X25"/>
    <mergeCell ref="H26:J26"/>
    <mergeCell ref="V26:X26"/>
    <mergeCell ref="H27:J27"/>
    <mergeCell ref="V27:X27"/>
    <mergeCell ref="V15:X15"/>
    <mergeCell ref="B1:AC1"/>
    <mergeCell ref="Y3:AC3"/>
    <mergeCell ref="Y4:AC4"/>
    <mergeCell ref="Y5:AC5"/>
    <mergeCell ref="B3:G5"/>
    <mergeCell ref="H3:U3"/>
    <mergeCell ref="H4:U4"/>
    <mergeCell ref="H5:U5"/>
    <mergeCell ref="C7:AB9"/>
    <mergeCell ref="V3:X3"/>
    <mergeCell ref="V4:X4"/>
    <mergeCell ref="V5:X5"/>
    <mergeCell ref="AM30:AO30"/>
    <mergeCell ref="AM31:AO31"/>
    <mergeCell ref="C31:AB31"/>
    <mergeCell ref="H33:J33"/>
    <mergeCell ref="AM32:AO32"/>
    <mergeCell ref="AM33:AO33"/>
    <mergeCell ref="H38:J38"/>
    <mergeCell ref="V38:X38"/>
    <mergeCell ref="H32:J32"/>
    <mergeCell ref="V32:X32"/>
    <mergeCell ref="V36:X36"/>
    <mergeCell ref="H37:J37"/>
    <mergeCell ref="V37:X37"/>
    <mergeCell ref="H34:J34"/>
    <mergeCell ref="V34:X34"/>
    <mergeCell ref="H35:J35"/>
    <mergeCell ref="V35:X35"/>
    <mergeCell ref="H36:J36"/>
    <mergeCell ref="V33:X33"/>
    <mergeCell ref="AQ54:AS54"/>
    <mergeCell ref="AT54:AV54"/>
    <mergeCell ref="C41:AB41"/>
    <mergeCell ref="H43:J43"/>
    <mergeCell ref="V43:X43"/>
    <mergeCell ref="H44:J44"/>
    <mergeCell ref="V44:X44"/>
    <mergeCell ref="H46:J46"/>
    <mergeCell ref="H47:J47"/>
    <mergeCell ref="V47:X47"/>
    <mergeCell ref="H48:J48"/>
    <mergeCell ref="V48:X48"/>
    <mergeCell ref="H45:J45"/>
    <mergeCell ref="C54:AB54"/>
    <mergeCell ref="C68:E68"/>
    <mergeCell ref="F68:G68"/>
    <mergeCell ref="H68:I68"/>
    <mergeCell ref="J68:K68"/>
    <mergeCell ref="L68:M68"/>
    <mergeCell ref="H71:I71"/>
    <mergeCell ref="V21:X21"/>
    <mergeCell ref="Q61:S61"/>
    <mergeCell ref="Q62:S62"/>
    <mergeCell ref="Q63:S63"/>
    <mergeCell ref="Q59:S59"/>
    <mergeCell ref="Q60:S60"/>
    <mergeCell ref="H57:J57"/>
    <mergeCell ref="H58:J58"/>
    <mergeCell ref="H59:J59"/>
    <mergeCell ref="H60:J60"/>
    <mergeCell ref="N57:P57"/>
    <mergeCell ref="N58:P58"/>
    <mergeCell ref="N59:P59"/>
    <mergeCell ref="N60:P60"/>
    <mergeCell ref="H29:J29"/>
    <mergeCell ref="C66:AB66"/>
    <mergeCell ref="V45:X45"/>
    <mergeCell ref="T57:V57"/>
    <mergeCell ref="T58:V58"/>
    <mergeCell ref="T59:V59"/>
    <mergeCell ref="T60:V60"/>
    <mergeCell ref="T61:V61"/>
    <mergeCell ref="T62:V62"/>
    <mergeCell ref="T63:V63"/>
    <mergeCell ref="X75:Z75"/>
    <mergeCell ref="X68:Z68"/>
    <mergeCell ref="X70:Z70"/>
    <mergeCell ref="X71:Z71"/>
    <mergeCell ref="X72:Z72"/>
    <mergeCell ref="V67:W67"/>
    <mergeCell ref="X67:Z67"/>
    <mergeCell ref="X69:Z69"/>
    <mergeCell ref="T72:U72"/>
    <mergeCell ref="AE116:AG116"/>
    <mergeCell ref="AE83:AE85"/>
    <mergeCell ref="AE86:AE88"/>
    <mergeCell ref="AE89:AE91"/>
    <mergeCell ref="AE92:AE94"/>
    <mergeCell ref="V84:X84"/>
    <mergeCell ref="V109:X109"/>
    <mergeCell ref="C111:AB111"/>
    <mergeCell ref="H114:J114"/>
    <mergeCell ref="C101:AB101"/>
    <mergeCell ref="H102:J102"/>
    <mergeCell ref="V102:X102"/>
    <mergeCell ref="V105:X105"/>
    <mergeCell ref="C108:AB108"/>
    <mergeCell ref="H84:J84"/>
    <mergeCell ref="W97:Y97"/>
    <mergeCell ref="C91:AB91"/>
    <mergeCell ref="V85:X85"/>
    <mergeCell ref="V86:X86"/>
    <mergeCell ref="V88:X88"/>
    <mergeCell ref="V87:X87"/>
    <mergeCell ref="W93:Y93"/>
    <mergeCell ref="W94:Y94"/>
    <mergeCell ref="W95:Y95"/>
    <mergeCell ref="H138:J138"/>
    <mergeCell ref="H140:J140"/>
    <mergeCell ref="V140:X140"/>
    <mergeCell ref="H141:J141"/>
    <mergeCell ref="U138:AB138"/>
    <mergeCell ref="H113:J113"/>
    <mergeCell ref="V114:X114"/>
    <mergeCell ref="H120:J120"/>
    <mergeCell ref="H115:J115"/>
    <mergeCell ref="H116:J116"/>
    <mergeCell ref="H117:J117"/>
    <mergeCell ref="U117:W117"/>
    <mergeCell ref="H124:J124"/>
    <mergeCell ref="V124:X124"/>
    <mergeCell ref="V130:X130"/>
    <mergeCell ref="C220:AB221"/>
    <mergeCell ref="C195:AB195"/>
    <mergeCell ref="J196:L196"/>
    <mergeCell ref="M196:N196"/>
    <mergeCell ref="L215:N215"/>
    <mergeCell ref="R215:T215"/>
    <mergeCell ref="W215:X215"/>
    <mergeCell ref="L216:N216"/>
    <mergeCell ref="R216:T216"/>
    <mergeCell ref="R206:T206"/>
    <mergeCell ref="W206:X206"/>
    <mergeCell ref="L207:N207"/>
    <mergeCell ref="R207:T207"/>
    <mergeCell ref="W207:X207"/>
    <mergeCell ref="W216:X216"/>
    <mergeCell ref="J198:L198"/>
    <mergeCell ref="M198:N198"/>
    <mergeCell ref="J200:L200"/>
    <mergeCell ref="M200:N200"/>
    <mergeCell ref="C213:AB213"/>
    <mergeCell ref="C218:AB218"/>
    <mergeCell ref="V173:X173"/>
    <mergeCell ref="M203:N203"/>
    <mergeCell ref="X202:Z202"/>
    <mergeCell ref="AA202:AB202"/>
    <mergeCell ref="L206:N206"/>
    <mergeCell ref="J202:L202"/>
    <mergeCell ref="M202:N202"/>
    <mergeCell ref="J201:L201"/>
    <mergeCell ref="M201:N201"/>
    <mergeCell ref="J203:L203"/>
    <mergeCell ref="V174:X174"/>
    <mergeCell ref="V39:X39"/>
    <mergeCell ref="H154:J154"/>
    <mergeCell ref="H156:J156"/>
    <mergeCell ref="V156:X156"/>
    <mergeCell ref="H151:J151"/>
    <mergeCell ref="H150:J150"/>
    <mergeCell ref="H152:J152"/>
    <mergeCell ref="H145:J145"/>
    <mergeCell ref="V145:X145"/>
    <mergeCell ref="H103:J103"/>
    <mergeCell ref="V103:X103"/>
    <mergeCell ref="V106:X106"/>
    <mergeCell ref="V104:X104"/>
    <mergeCell ref="H106:J106"/>
    <mergeCell ref="H105:J105"/>
    <mergeCell ref="H119:J119"/>
    <mergeCell ref="H127:J127"/>
    <mergeCell ref="G109:I109"/>
    <mergeCell ref="H112:J112"/>
    <mergeCell ref="H122:J122"/>
    <mergeCell ref="V122:X122"/>
    <mergeCell ref="V123:X123"/>
    <mergeCell ref="H144:J144"/>
    <mergeCell ref="H123:J123"/>
    <mergeCell ref="H171:J171"/>
    <mergeCell ref="H174:J174"/>
    <mergeCell ref="H125:J125"/>
    <mergeCell ref="L210:N210"/>
    <mergeCell ref="R210:T210"/>
    <mergeCell ref="W210:X210"/>
    <mergeCell ref="L211:N211"/>
    <mergeCell ref="R211:T211"/>
    <mergeCell ref="W211:X211"/>
    <mergeCell ref="C168:AB168"/>
    <mergeCell ref="C148:AB148"/>
    <mergeCell ref="V141:X141"/>
    <mergeCell ref="K181:M181"/>
    <mergeCell ref="L208:N208"/>
    <mergeCell ref="R208:T208"/>
    <mergeCell ref="W208:X208"/>
    <mergeCell ref="V136:X136"/>
    <mergeCell ref="H142:J142"/>
    <mergeCell ref="V142:X142"/>
    <mergeCell ref="H143:J143"/>
    <mergeCell ref="V132:X132"/>
    <mergeCell ref="V135:X135"/>
    <mergeCell ref="V137:X137"/>
    <mergeCell ref="H173:J173"/>
    <mergeCell ref="C158:AB158"/>
    <mergeCell ref="H160:J160"/>
    <mergeCell ref="V160:X160"/>
    <mergeCell ref="H159:J159"/>
    <mergeCell ref="C163:AB163"/>
    <mergeCell ref="H164:J164"/>
    <mergeCell ref="H165:J165"/>
    <mergeCell ref="V165:X165"/>
    <mergeCell ref="H170:J170"/>
  </mergeCells>
  <phoneticPr fontId="0" type="noConversion"/>
  <conditionalFormatting sqref="AA23:AB23">
    <cfRule type="cellIs" dxfId="6" priority="7" stopIfTrue="1" operator="equal">
      <formula>"Change Section Dimensions"</formula>
    </cfRule>
  </conditionalFormatting>
  <conditionalFormatting sqref="AM31:AR33">
    <cfRule type="expression" dxfId="5" priority="6">
      <formula>$AM$30=0</formula>
    </cfRule>
  </conditionalFormatting>
  <conditionalFormatting sqref="AM32:AO33">
    <cfRule type="expression" dxfId="4" priority="5">
      <formula>$AM$30=1</formula>
    </cfRule>
  </conditionalFormatting>
  <conditionalFormatting sqref="AM33:AO33">
    <cfRule type="expression" dxfId="3" priority="4">
      <formula>$AM$30=2</formula>
    </cfRule>
  </conditionalFormatting>
  <conditionalFormatting sqref="AH31:AH33">
    <cfRule type="expression" dxfId="2" priority="3">
      <formula>$AM$30=0</formula>
    </cfRule>
  </conditionalFormatting>
  <conditionalFormatting sqref="AH32:AH33 AP32:AS33">
    <cfRule type="expression" dxfId="1" priority="2">
      <formula>$AM$30=1</formula>
    </cfRule>
  </conditionalFormatting>
  <conditionalFormatting sqref="AH33 AP33:AR33">
    <cfRule type="expression" dxfId="0" priority="1">
      <formula>$AM$30=2</formula>
    </cfRule>
  </conditionalFormatting>
  <dataValidations disablePrompts="1" count="4">
    <dataValidation type="list" allowBlank="1" showInputMessage="1" showErrorMessage="1" sqref="Z19:AA19" xr:uid="{00000000-0002-0000-0000-000000000000}">
      <formula1>"Yes,No"</formula1>
    </dataValidation>
    <dataValidation type="decimal" allowBlank="1" showInputMessage="1" showErrorMessage="1" sqref="AM32:AO33" xr:uid="{00000000-0002-0000-0000-000001000000}">
      <formula1>Stiff1+10</formula1>
      <formula2>h-tfb-10</formula2>
    </dataValidation>
    <dataValidation type="list" allowBlank="1" showInputMessage="1" showErrorMessage="1" sqref="AM30:AO30" xr:uid="{00000000-0002-0000-0000-000002000000}">
      <formula1>$AF$30:$AF$33</formula1>
    </dataValidation>
    <dataValidation type="decimal" allowBlank="1" showInputMessage="1" showErrorMessage="1" sqref="AM31:AO31" xr:uid="{00000000-0002-0000-0000-000003000000}">
      <formula1>tft+10</formula1>
      <formula2>h-tfb-10</formula2>
    </dataValidation>
  </dataValidations>
  <pageMargins left="0.5" right="0.25" top="0.5" bottom="0.5" header="0" footer="0.3"/>
  <pageSetup paperSize="9" orientation="portrait" r:id="rId13"/>
  <headerFooter alignWithMargins="0">
    <oddFooter>&amp;L&amp;F</oddFooter>
  </headerFooter>
  <rowBreaks count="4" manualBreakCount="4">
    <brk id="52" max="28" man="1"/>
    <brk id="99" max="28" man="1"/>
    <brk id="146" max="28" man="1"/>
    <brk id="193" max="28" man="1"/>
  </rowBreaks>
  <ignoredErrors>
    <ignoredError sqref="Y5" numberStoredAsText="1"/>
    <ignoredError sqref="P68:Q69 P74:Q75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4000000}">
          <x14:formula1>
            <xm:f>'St-Table'!$A$7:$A$416</xm:f>
          </x14:formula1>
          <xm:sqref>H25:X25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"/>
  <sheetViews>
    <sheetView workbookViewId="0">
      <selection activeCell="C2" sqref="C2"/>
    </sheetView>
  </sheetViews>
  <sheetFormatPr defaultRowHeight="13.2"/>
  <cols>
    <col min="1" max="1" width="10.33203125" bestFit="1" customWidth="1"/>
  </cols>
  <sheetData>
    <row r="1" spans="1:10">
      <c r="B1" s="9" t="s">
        <v>9</v>
      </c>
      <c r="C1" s="2" t="s">
        <v>10</v>
      </c>
      <c r="D1" s="2"/>
    </row>
    <row r="5" spans="1:10">
      <c r="A5" s="33"/>
      <c r="B5" s="33"/>
      <c r="C5" s="33"/>
      <c r="D5" s="33"/>
      <c r="E5" s="33"/>
      <c r="F5" s="33"/>
      <c r="G5" s="33"/>
      <c r="H5" s="33"/>
      <c r="I5" s="33"/>
      <c r="J5" s="34"/>
    </row>
  </sheetData>
  <customSheetViews>
    <customSheetView guid="{D127AEA6-C2DF-11D2-8A4B-444553540000}">
      <selection activeCell="N5" sqref="N5"/>
      <pageMargins left="0.7" right="0.7" top="0.75" bottom="0.75" header="0.3" footer="0.3"/>
    </customSheetView>
    <customSheetView guid="{E8C94553-FFEA-4948-9CE9-31EDF7671BDE}">
      <selection activeCell="N5" sqref="N5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K416"/>
  <sheetViews>
    <sheetView workbookViewId="0">
      <pane ySplit="5" topLeftCell="A10" activePane="bottomLeft" state="frozen"/>
      <selection pane="bottomLeft" activeCell="F5" sqref="F5"/>
    </sheetView>
  </sheetViews>
  <sheetFormatPr defaultColWidth="9.109375" defaultRowHeight="13.2"/>
  <cols>
    <col min="1" max="1" width="18.33203125" style="144" customWidth="1"/>
    <col min="2" max="14" width="9.109375" style="144"/>
    <col min="15" max="15" width="17.5546875" style="144" customWidth="1"/>
    <col min="16" max="16384" width="9.109375" style="144"/>
  </cols>
  <sheetData>
    <row r="1" spans="1:37">
      <c r="A1" s="144">
        <v>1</v>
      </c>
      <c r="B1" s="144">
        <v>2</v>
      </c>
      <c r="C1" s="144">
        <v>3</v>
      </c>
      <c r="D1" s="144">
        <v>4</v>
      </c>
      <c r="E1" s="144">
        <v>5</v>
      </c>
      <c r="F1" s="144">
        <v>6</v>
      </c>
      <c r="G1" s="144">
        <v>7</v>
      </c>
      <c r="H1" s="144">
        <v>8</v>
      </c>
      <c r="I1" s="144">
        <v>9</v>
      </c>
      <c r="J1" s="144">
        <v>10</v>
      </c>
      <c r="K1" s="144">
        <v>11</v>
      </c>
      <c r="L1" s="144">
        <v>12</v>
      </c>
      <c r="M1" s="144">
        <v>13</v>
      </c>
      <c r="N1" s="144">
        <v>14</v>
      </c>
      <c r="O1" s="144">
        <v>15</v>
      </c>
      <c r="P1" s="144">
        <v>16</v>
      </c>
      <c r="Q1" s="144">
        <v>17</v>
      </c>
      <c r="R1" s="144">
        <v>18</v>
      </c>
      <c r="S1" s="144">
        <v>19</v>
      </c>
      <c r="T1" s="144">
        <v>20</v>
      </c>
      <c r="U1" s="144">
        <v>21</v>
      </c>
      <c r="V1" s="144">
        <v>22</v>
      </c>
      <c r="W1" s="144">
        <v>23</v>
      </c>
      <c r="X1" s="144">
        <v>24</v>
      </c>
      <c r="Y1" s="144">
        <v>25</v>
      </c>
      <c r="Z1" s="144">
        <v>26</v>
      </c>
      <c r="AA1" s="144">
        <v>27</v>
      </c>
      <c r="AB1" s="144">
        <v>28</v>
      </c>
      <c r="AC1" s="144">
        <v>29</v>
      </c>
      <c r="AD1" s="144">
        <v>30</v>
      </c>
      <c r="AE1" s="144">
        <v>31</v>
      </c>
      <c r="AF1" s="144">
        <v>32</v>
      </c>
      <c r="AG1" s="144">
        <v>33</v>
      </c>
      <c r="AH1" s="144">
        <v>34</v>
      </c>
      <c r="AI1" s="144">
        <v>35</v>
      </c>
      <c r="AJ1" s="144">
        <v>36</v>
      </c>
      <c r="AK1" s="144">
        <v>37</v>
      </c>
    </row>
    <row r="2" spans="1:37">
      <c r="A2" s="163"/>
      <c r="B2" s="163" t="s">
        <v>711</v>
      </c>
      <c r="C2" s="163" t="s">
        <v>714</v>
      </c>
      <c r="D2" s="175" t="s">
        <v>713</v>
      </c>
      <c r="E2" s="174"/>
      <c r="F2" s="163" t="s">
        <v>712</v>
      </c>
      <c r="G2" s="163" t="s">
        <v>711</v>
      </c>
      <c r="H2" s="175" t="s">
        <v>709</v>
      </c>
      <c r="I2" s="174"/>
      <c r="J2" s="176" t="s">
        <v>708</v>
      </c>
      <c r="K2" s="174"/>
      <c r="L2" s="175" t="s">
        <v>707</v>
      </c>
      <c r="M2" s="174"/>
      <c r="N2" s="163" t="s">
        <v>31</v>
      </c>
      <c r="O2" s="163"/>
      <c r="P2" s="177" t="s">
        <v>715</v>
      </c>
      <c r="Q2" s="163" t="s">
        <v>711</v>
      </c>
      <c r="R2" s="163" t="s">
        <v>714</v>
      </c>
      <c r="S2" s="175" t="s">
        <v>713</v>
      </c>
      <c r="T2" s="174"/>
      <c r="U2" s="163" t="s">
        <v>712</v>
      </c>
      <c r="V2" s="163" t="s">
        <v>711</v>
      </c>
      <c r="W2" s="175" t="s">
        <v>710</v>
      </c>
      <c r="X2" s="174"/>
      <c r="Y2" s="175" t="s">
        <v>709</v>
      </c>
      <c r="Z2" s="174"/>
      <c r="AA2" s="176" t="s">
        <v>702</v>
      </c>
      <c r="AB2" s="174"/>
      <c r="AC2" s="176" t="s">
        <v>708</v>
      </c>
      <c r="AD2" s="174"/>
      <c r="AE2" s="175" t="s">
        <v>707</v>
      </c>
      <c r="AF2" s="174"/>
      <c r="AG2" s="163" t="s">
        <v>706</v>
      </c>
      <c r="AH2" s="163" t="s">
        <v>704</v>
      </c>
      <c r="AI2" s="173" t="s">
        <v>705</v>
      </c>
      <c r="AJ2" s="173" t="s">
        <v>704</v>
      </c>
      <c r="AK2" s="163" t="s">
        <v>31</v>
      </c>
    </row>
    <row r="3" spans="1:37">
      <c r="A3" s="158"/>
      <c r="B3" s="158" t="s">
        <v>693</v>
      </c>
      <c r="C3" s="160" t="s">
        <v>693</v>
      </c>
      <c r="D3" s="172" t="s">
        <v>95</v>
      </c>
      <c r="E3" s="171" t="s">
        <v>124</v>
      </c>
      <c r="F3" s="159" t="s">
        <v>702</v>
      </c>
      <c r="G3" s="158" t="s">
        <v>701</v>
      </c>
      <c r="H3" s="168" t="s">
        <v>699</v>
      </c>
      <c r="I3" s="169"/>
      <c r="J3" s="170" t="s">
        <v>697</v>
      </c>
      <c r="K3" s="169"/>
      <c r="L3" s="168" t="s">
        <v>697</v>
      </c>
      <c r="M3" s="167"/>
      <c r="N3" s="158" t="s">
        <v>693</v>
      </c>
      <c r="O3" s="158"/>
      <c r="P3" s="159" t="s">
        <v>703</v>
      </c>
      <c r="Q3" s="158" t="s">
        <v>693</v>
      </c>
      <c r="R3" s="160" t="s">
        <v>693</v>
      </c>
      <c r="S3" s="172" t="s">
        <v>95</v>
      </c>
      <c r="T3" s="171" t="s">
        <v>124</v>
      </c>
      <c r="U3" s="159" t="s">
        <v>702</v>
      </c>
      <c r="V3" s="158" t="s">
        <v>701</v>
      </c>
      <c r="W3" s="168" t="s">
        <v>700</v>
      </c>
      <c r="X3" s="169"/>
      <c r="Y3" s="168" t="s">
        <v>699</v>
      </c>
      <c r="Z3" s="169"/>
      <c r="AA3" s="170" t="s">
        <v>698</v>
      </c>
      <c r="AB3" s="169"/>
      <c r="AC3" s="170" t="s">
        <v>697</v>
      </c>
      <c r="AD3" s="169"/>
      <c r="AE3" s="168" t="s">
        <v>697</v>
      </c>
      <c r="AF3" s="167"/>
      <c r="AG3" s="158" t="s">
        <v>696</v>
      </c>
      <c r="AH3" s="158" t="s">
        <v>695</v>
      </c>
      <c r="AI3" s="165" t="s">
        <v>694</v>
      </c>
      <c r="AJ3" s="165" t="s">
        <v>694</v>
      </c>
      <c r="AK3" s="158" t="s">
        <v>693</v>
      </c>
    </row>
    <row r="4" spans="1:37">
      <c r="A4" s="158" t="s">
        <v>692</v>
      </c>
      <c r="B4" s="158" t="s">
        <v>687</v>
      </c>
      <c r="C4" s="160" t="s">
        <v>687</v>
      </c>
      <c r="D4" s="166"/>
      <c r="E4" s="165"/>
      <c r="F4" s="164"/>
      <c r="G4" s="158" t="s">
        <v>690</v>
      </c>
      <c r="H4" s="163" t="s">
        <v>689</v>
      </c>
      <c r="I4" s="163" t="s">
        <v>688</v>
      </c>
      <c r="J4" s="163" t="s">
        <v>689</v>
      </c>
      <c r="K4" s="163" t="s">
        <v>688</v>
      </c>
      <c r="L4" s="163" t="s">
        <v>689</v>
      </c>
      <c r="M4" s="163" t="s">
        <v>688</v>
      </c>
      <c r="N4" s="158" t="s">
        <v>687</v>
      </c>
      <c r="O4" s="158" t="s">
        <v>692</v>
      </c>
      <c r="P4" s="159" t="s">
        <v>691</v>
      </c>
      <c r="Q4" s="158" t="s">
        <v>687</v>
      </c>
      <c r="R4" s="160" t="s">
        <v>687</v>
      </c>
      <c r="S4" s="166"/>
      <c r="T4" s="165"/>
      <c r="U4" s="164"/>
      <c r="V4" s="158" t="s">
        <v>690</v>
      </c>
      <c r="W4" s="163" t="s">
        <v>124</v>
      </c>
      <c r="X4" s="163" t="s">
        <v>95</v>
      </c>
      <c r="Y4" s="163" t="s">
        <v>689</v>
      </c>
      <c r="Z4" s="163" t="s">
        <v>688</v>
      </c>
      <c r="AA4" s="163" t="s">
        <v>689</v>
      </c>
      <c r="AB4" s="163" t="s">
        <v>688</v>
      </c>
      <c r="AC4" s="163" t="s">
        <v>689</v>
      </c>
      <c r="AD4" s="163" t="s">
        <v>688</v>
      </c>
      <c r="AE4" s="163" t="s">
        <v>689</v>
      </c>
      <c r="AF4" s="163" t="s">
        <v>688</v>
      </c>
      <c r="AG4" s="161"/>
      <c r="AH4" s="161"/>
      <c r="AI4" s="162"/>
      <c r="AJ4" s="162"/>
      <c r="AK4" s="158" t="s">
        <v>687</v>
      </c>
    </row>
    <row r="5" spans="1:37" ht="15.6">
      <c r="A5" s="161"/>
      <c r="B5" s="158" t="s">
        <v>69</v>
      </c>
      <c r="C5" s="160" t="s">
        <v>68</v>
      </c>
      <c r="D5" s="160" t="s">
        <v>686</v>
      </c>
      <c r="E5" s="158" t="s">
        <v>685</v>
      </c>
      <c r="F5" s="159" t="s">
        <v>684</v>
      </c>
      <c r="G5" s="158" t="s">
        <v>683</v>
      </c>
      <c r="H5" s="158" t="s">
        <v>680</v>
      </c>
      <c r="I5" s="158" t="s">
        <v>679</v>
      </c>
      <c r="J5" s="158" t="s">
        <v>676</v>
      </c>
      <c r="K5" s="158" t="s">
        <v>675</v>
      </c>
      <c r="L5" s="158" t="s">
        <v>674</v>
      </c>
      <c r="M5" s="158" t="s">
        <v>673</v>
      </c>
      <c r="N5" s="158" t="s">
        <v>669</v>
      </c>
      <c r="O5" s="161"/>
      <c r="P5" s="159" t="s">
        <v>666</v>
      </c>
      <c r="Q5" s="158" t="s">
        <v>69</v>
      </c>
      <c r="R5" s="160" t="s">
        <v>68</v>
      </c>
      <c r="S5" s="160" t="s">
        <v>686</v>
      </c>
      <c r="T5" s="158" t="s">
        <v>685</v>
      </c>
      <c r="U5" s="159" t="s">
        <v>684</v>
      </c>
      <c r="V5" s="158" t="s">
        <v>683</v>
      </c>
      <c r="W5" s="158" t="s">
        <v>682</v>
      </c>
      <c r="X5" s="158" t="s">
        <v>681</v>
      </c>
      <c r="Y5" s="158" t="s">
        <v>680</v>
      </c>
      <c r="Z5" s="158" t="s">
        <v>679</v>
      </c>
      <c r="AA5" s="158" t="s">
        <v>678</v>
      </c>
      <c r="AB5" s="158" t="s">
        <v>677</v>
      </c>
      <c r="AC5" s="158" t="s">
        <v>676</v>
      </c>
      <c r="AD5" s="158" t="s">
        <v>675</v>
      </c>
      <c r="AE5" s="158" t="s">
        <v>674</v>
      </c>
      <c r="AF5" s="158" t="s">
        <v>673</v>
      </c>
      <c r="AG5" s="158" t="s">
        <v>672</v>
      </c>
      <c r="AH5" s="158" t="s">
        <v>70</v>
      </c>
      <c r="AI5" s="158" t="s">
        <v>671</v>
      </c>
      <c r="AJ5" s="158" t="s">
        <v>670</v>
      </c>
      <c r="AK5" s="158" t="s">
        <v>669</v>
      </c>
    </row>
    <row r="6" spans="1:37" ht="15.6">
      <c r="A6" s="157"/>
      <c r="B6" s="154" t="s">
        <v>18</v>
      </c>
      <c r="C6" s="156" t="s">
        <v>18</v>
      </c>
      <c r="D6" s="156" t="s">
        <v>18</v>
      </c>
      <c r="E6" s="154" t="s">
        <v>18</v>
      </c>
      <c r="F6" s="155" t="s">
        <v>18</v>
      </c>
      <c r="G6" s="154" t="s">
        <v>18</v>
      </c>
      <c r="H6" s="154" t="s">
        <v>664</v>
      </c>
      <c r="I6" s="154" t="s">
        <v>664</v>
      </c>
      <c r="J6" s="154" t="s">
        <v>667</v>
      </c>
      <c r="K6" s="154" t="s">
        <v>667</v>
      </c>
      <c r="L6" s="154" t="s">
        <v>667</v>
      </c>
      <c r="M6" s="154" t="s">
        <v>667</v>
      </c>
      <c r="N6" s="154" t="s">
        <v>663</v>
      </c>
      <c r="O6" s="157"/>
      <c r="P6" s="155" t="s">
        <v>34</v>
      </c>
      <c r="Q6" s="154" t="s">
        <v>18</v>
      </c>
      <c r="R6" s="156" t="s">
        <v>18</v>
      </c>
      <c r="S6" s="156" t="s">
        <v>18</v>
      </c>
      <c r="T6" s="154" t="s">
        <v>18</v>
      </c>
      <c r="U6" s="155" t="s">
        <v>18</v>
      </c>
      <c r="V6" s="154" t="s">
        <v>18</v>
      </c>
      <c r="W6" s="154" t="s">
        <v>666</v>
      </c>
      <c r="X6" s="154" t="s">
        <v>666</v>
      </c>
      <c r="Y6" s="154" t="s">
        <v>664</v>
      </c>
      <c r="Z6" s="154" t="s">
        <v>664</v>
      </c>
      <c r="AA6" s="154" t="s">
        <v>668</v>
      </c>
      <c r="AB6" s="154" t="s">
        <v>668</v>
      </c>
      <c r="AC6" s="154" t="s">
        <v>667</v>
      </c>
      <c r="AD6" s="154" t="s">
        <v>667</v>
      </c>
      <c r="AE6" s="154" t="s">
        <v>667</v>
      </c>
      <c r="AF6" s="154" t="s">
        <v>667</v>
      </c>
      <c r="AG6" s="154" t="s">
        <v>666</v>
      </c>
      <c r="AH6" s="154" t="s">
        <v>666</v>
      </c>
      <c r="AI6" s="154" t="s">
        <v>665</v>
      </c>
      <c r="AJ6" s="154" t="s">
        <v>664</v>
      </c>
      <c r="AK6" s="154" t="s">
        <v>663</v>
      </c>
    </row>
    <row r="7" spans="1:37">
      <c r="A7" s="153" t="s">
        <v>662</v>
      </c>
      <c r="B7" s="152">
        <v>98</v>
      </c>
      <c r="C7" s="152">
        <v>55</v>
      </c>
      <c r="D7" s="152">
        <v>3.6</v>
      </c>
      <c r="E7" s="152">
        <v>4.7</v>
      </c>
      <c r="F7" s="152">
        <v>7</v>
      </c>
      <c r="G7" s="152">
        <v>74.599999999999994</v>
      </c>
      <c r="H7" s="152">
        <v>141</v>
      </c>
      <c r="I7" s="152">
        <v>13.1</v>
      </c>
      <c r="J7" s="152">
        <v>28.8</v>
      </c>
      <c r="K7" s="152">
        <v>4.7699999999999996</v>
      </c>
      <c r="L7" s="152">
        <v>33</v>
      </c>
      <c r="M7" s="152">
        <v>7.54</v>
      </c>
      <c r="N7" s="151">
        <v>8.7799999999999994</v>
      </c>
      <c r="O7" s="153" t="s">
        <v>662</v>
      </c>
      <c r="P7" s="152">
        <v>6.9</v>
      </c>
      <c r="Q7" s="152">
        <v>98</v>
      </c>
      <c r="R7" s="152">
        <v>55</v>
      </c>
      <c r="S7" s="152">
        <v>3.6</v>
      </c>
      <c r="T7" s="152">
        <v>4.7</v>
      </c>
      <c r="U7" s="152">
        <v>7</v>
      </c>
      <c r="V7" s="152">
        <v>74.599999999999994</v>
      </c>
      <c r="W7" s="152">
        <v>5.85</v>
      </c>
      <c r="X7" s="152">
        <v>20.7</v>
      </c>
      <c r="Y7" s="152">
        <v>141</v>
      </c>
      <c r="Z7" s="152">
        <v>13.1</v>
      </c>
      <c r="AA7" s="152">
        <v>4.01</v>
      </c>
      <c r="AB7" s="152">
        <v>1.22</v>
      </c>
      <c r="AC7" s="152">
        <v>28.8</v>
      </c>
      <c r="AD7" s="152">
        <v>4.7699999999999996</v>
      </c>
      <c r="AE7" s="152">
        <v>33</v>
      </c>
      <c r="AF7" s="152">
        <v>7.54</v>
      </c>
      <c r="AG7" s="152">
        <v>0.876</v>
      </c>
      <c r="AH7" s="152">
        <v>18.399999999999999</v>
      </c>
      <c r="AI7" s="152">
        <v>0</v>
      </c>
      <c r="AJ7" s="152">
        <v>0.72699999999999998</v>
      </c>
      <c r="AK7" s="151">
        <v>8.7799999999999994</v>
      </c>
    </row>
    <row r="8" spans="1:37">
      <c r="A8" s="147" t="s">
        <v>661</v>
      </c>
      <c r="B8" s="146">
        <v>100</v>
      </c>
      <c r="C8" s="146">
        <v>55</v>
      </c>
      <c r="D8" s="146">
        <v>4.0999999999999996</v>
      </c>
      <c r="E8" s="146">
        <v>5.7</v>
      </c>
      <c r="F8" s="146">
        <v>7</v>
      </c>
      <c r="G8" s="146">
        <v>74.599999999999994</v>
      </c>
      <c r="H8" s="146">
        <v>171</v>
      </c>
      <c r="I8" s="146">
        <v>15.9</v>
      </c>
      <c r="J8" s="146">
        <v>34.200000000000003</v>
      </c>
      <c r="K8" s="146">
        <v>5.79</v>
      </c>
      <c r="L8" s="146">
        <v>39.4</v>
      </c>
      <c r="M8" s="146">
        <v>9.15</v>
      </c>
      <c r="N8" s="145">
        <v>10.3</v>
      </c>
      <c r="O8" s="147" t="s">
        <v>661</v>
      </c>
      <c r="P8" s="146">
        <v>8.1</v>
      </c>
      <c r="Q8" s="146">
        <v>100</v>
      </c>
      <c r="R8" s="146">
        <v>55</v>
      </c>
      <c r="S8" s="146">
        <v>4.0999999999999996</v>
      </c>
      <c r="T8" s="146">
        <v>5.7</v>
      </c>
      <c r="U8" s="146">
        <v>7</v>
      </c>
      <c r="V8" s="146">
        <v>74.599999999999994</v>
      </c>
      <c r="W8" s="146">
        <v>4.82</v>
      </c>
      <c r="X8" s="146">
        <v>18.2</v>
      </c>
      <c r="Y8" s="146">
        <v>171</v>
      </c>
      <c r="Z8" s="146">
        <v>15.9</v>
      </c>
      <c r="AA8" s="146">
        <v>4.07</v>
      </c>
      <c r="AB8" s="146">
        <v>1.24</v>
      </c>
      <c r="AC8" s="146">
        <v>34.200000000000003</v>
      </c>
      <c r="AD8" s="146">
        <v>5.79</v>
      </c>
      <c r="AE8" s="146">
        <v>39.4</v>
      </c>
      <c r="AF8" s="146">
        <v>9.15</v>
      </c>
      <c r="AG8" s="146">
        <v>0.878</v>
      </c>
      <c r="AH8" s="146">
        <v>15.9</v>
      </c>
      <c r="AI8" s="146">
        <v>0</v>
      </c>
      <c r="AJ8" s="146">
        <v>1.1599999999999999</v>
      </c>
      <c r="AK8" s="145">
        <v>10.3</v>
      </c>
    </row>
    <row r="9" spans="1:37">
      <c r="A9" s="150" t="s">
        <v>660</v>
      </c>
      <c r="B9" s="149">
        <v>117.6</v>
      </c>
      <c r="C9" s="149">
        <v>64</v>
      </c>
      <c r="D9" s="149">
        <v>3.8</v>
      </c>
      <c r="E9" s="149">
        <v>5.0999999999999996</v>
      </c>
      <c r="F9" s="149">
        <v>7</v>
      </c>
      <c r="G9" s="149">
        <v>93.4</v>
      </c>
      <c r="H9" s="149">
        <v>257</v>
      </c>
      <c r="I9" s="149">
        <v>22.4</v>
      </c>
      <c r="J9" s="149">
        <v>43.8</v>
      </c>
      <c r="K9" s="149">
        <v>7</v>
      </c>
      <c r="L9" s="149">
        <v>49.9</v>
      </c>
      <c r="M9" s="149">
        <v>11</v>
      </c>
      <c r="N9" s="148">
        <v>11</v>
      </c>
      <c r="O9" s="150" t="s">
        <v>660</v>
      </c>
      <c r="P9" s="149">
        <v>8.6999999999999993</v>
      </c>
      <c r="Q9" s="149">
        <v>117.6</v>
      </c>
      <c r="R9" s="149">
        <v>64</v>
      </c>
      <c r="S9" s="149">
        <v>3.8</v>
      </c>
      <c r="T9" s="149">
        <v>5.0999999999999996</v>
      </c>
      <c r="U9" s="149">
        <v>7</v>
      </c>
      <c r="V9" s="149">
        <v>93.4</v>
      </c>
      <c r="W9" s="149">
        <v>6.27</v>
      </c>
      <c r="X9" s="149">
        <v>24.6</v>
      </c>
      <c r="Y9" s="149">
        <v>257</v>
      </c>
      <c r="Z9" s="149">
        <v>22.4</v>
      </c>
      <c r="AA9" s="149">
        <v>4.83</v>
      </c>
      <c r="AB9" s="149">
        <v>1.42</v>
      </c>
      <c r="AC9" s="149">
        <v>43.8</v>
      </c>
      <c r="AD9" s="149">
        <v>7</v>
      </c>
      <c r="AE9" s="149">
        <v>49.9</v>
      </c>
      <c r="AF9" s="149">
        <v>11</v>
      </c>
      <c r="AG9" s="149">
        <v>0.876</v>
      </c>
      <c r="AH9" s="149">
        <v>21.2</v>
      </c>
      <c r="AI9" s="149">
        <v>1E-3</v>
      </c>
      <c r="AJ9" s="149">
        <v>0.996</v>
      </c>
      <c r="AK9" s="148">
        <v>11</v>
      </c>
    </row>
    <row r="10" spans="1:37">
      <c r="A10" s="147" t="s">
        <v>659</v>
      </c>
      <c r="B10" s="146">
        <v>120</v>
      </c>
      <c r="C10" s="146">
        <v>64</v>
      </c>
      <c r="D10" s="146">
        <v>4.4000000000000004</v>
      </c>
      <c r="E10" s="146">
        <v>6.3</v>
      </c>
      <c r="F10" s="146">
        <v>7</v>
      </c>
      <c r="G10" s="146">
        <v>93.4</v>
      </c>
      <c r="H10" s="146">
        <v>318</v>
      </c>
      <c r="I10" s="146">
        <v>27.7</v>
      </c>
      <c r="J10" s="146">
        <v>53</v>
      </c>
      <c r="K10" s="146">
        <v>8.65</v>
      </c>
      <c r="L10" s="146">
        <v>60.7</v>
      </c>
      <c r="M10" s="146">
        <v>13.6</v>
      </c>
      <c r="N10" s="145">
        <v>13.2</v>
      </c>
      <c r="O10" s="147" t="s">
        <v>659</v>
      </c>
      <c r="P10" s="146">
        <v>10.4</v>
      </c>
      <c r="Q10" s="146">
        <v>120</v>
      </c>
      <c r="R10" s="146">
        <v>64</v>
      </c>
      <c r="S10" s="146">
        <v>4.4000000000000004</v>
      </c>
      <c r="T10" s="146">
        <v>6.3</v>
      </c>
      <c r="U10" s="146">
        <v>7</v>
      </c>
      <c r="V10" s="146">
        <v>93.4</v>
      </c>
      <c r="W10" s="146">
        <v>5.08</v>
      </c>
      <c r="X10" s="146">
        <v>21.2</v>
      </c>
      <c r="Y10" s="146">
        <v>318</v>
      </c>
      <c r="Z10" s="146">
        <v>27.7</v>
      </c>
      <c r="AA10" s="146">
        <v>4.9000000000000004</v>
      </c>
      <c r="AB10" s="146">
        <v>1.45</v>
      </c>
      <c r="AC10" s="146">
        <v>53</v>
      </c>
      <c r="AD10" s="146">
        <v>8.65</v>
      </c>
      <c r="AE10" s="146">
        <v>60.7</v>
      </c>
      <c r="AF10" s="146">
        <v>13.6</v>
      </c>
      <c r="AG10" s="146">
        <v>0.879</v>
      </c>
      <c r="AH10" s="146">
        <v>18</v>
      </c>
      <c r="AI10" s="146">
        <v>1E-3</v>
      </c>
      <c r="AJ10" s="146">
        <v>1.69</v>
      </c>
      <c r="AK10" s="145">
        <v>13.2</v>
      </c>
    </row>
    <row r="11" spans="1:37">
      <c r="A11" s="150" t="s">
        <v>658</v>
      </c>
      <c r="B11" s="149">
        <v>137.4</v>
      </c>
      <c r="C11" s="149">
        <v>73</v>
      </c>
      <c r="D11" s="149">
        <v>3.8</v>
      </c>
      <c r="E11" s="149">
        <v>5.6</v>
      </c>
      <c r="F11" s="149">
        <v>7</v>
      </c>
      <c r="G11" s="149">
        <v>112.2</v>
      </c>
      <c r="H11" s="149">
        <v>435</v>
      </c>
      <c r="I11" s="149">
        <v>36.4</v>
      </c>
      <c r="J11" s="149">
        <v>63.3</v>
      </c>
      <c r="K11" s="149">
        <v>9.98</v>
      </c>
      <c r="L11" s="149">
        <v>71.599999999999994</v>
      </c>
      <c r="M11" s="149">
        <v>15.5</v>
      </c>
      <c r="N11" s="148">
        <v>13.4</v>
      </c>
      <c r="O11" s="150" t="s">
        <v>658</v>
      </c>
      <c r="P11" s="149">
        <v>10.5</v>
      </c>
      <c r="Q11" s="149">
        <v>137.4</v>
      </c>
      <c r="R11" s="149">
        <v>73</v>
      </c>
      <c r="S11" s="149">
        <v>3.8</v>
      </c>
      <c r="T11" s="149">
        <v>5.6</v>
      </c>
      <c r="U11" s="149">
        <v>7</v>
      </c>
      <c r="V11" s="149">
        <v>112.2</v>
      </c>
      <c r="W11" s="149">
        <v>6.52</v>
      </c>
      <c r="X11" s="149">
        <v>29.5</v>
      </c>
      <c r="Y11" s="149">
        <v>435</v>
      </c>
      <c r="Z11" s="149">
        <v>36.4</v>
      </c>
      <c r="AA11" s="149">
        <v>5.7</v>
      </c>
      <c r="AB11" s="149">
        <v>1.65</v>
      </c>
      <c r="AC11" s="149">
        <v>63.3</v>
      </c>
      <c r="AD11" s="149">
        <v>9.98</v>
      </c>
      <c r="AE11" s="149">
        <v>71.599999999999994</v>
      </c>
      <c r="AF11" s="149">
        <v>15.5</v>
      </c>
      <c r="AG11" s="149">
        <v>0.88100000000000001</v>
      </c>
      <c r="AH11" s="149">
        <v>23.6</v>
      </c>
      <c r="AI11" s="149">
        <v>2E-3</v>
      </c>
      <c r="AJ11" s="149">
        <v>1.34</v>
      </c>
      <c r="AK11" s="148">
        <v>13.4</v>
      </c>
    </row>
    <row r="12" spans="1:37">
      <c r="A12" s="150" t="s">
        <v>657</v>
      </c>
      <c r="B12" s="149">
        <v>140</v>
      </c>
      <c r="C12" s="149">
        <v>73</v>
      </c>
      <c r="D12" s="149">
        <v>4.7</v>
      </c>
      <c r="E12" s="149">
        <v>6.9</v>
      </c>
      <c r="F12" s="149">
        <v>7</v>
      </c>
      <c r="G12" s="149">
        <v>112.2</v>
      </c>
      <c r="H12" s="149">
        <v>541</v>
      </c>
      <c r="I12" s="149">
        <v>44.9</v>
      </c>
      <c r="J12" s="149">
        <v>77.3</v>
      </c>
      <c r="K12" s="149">
        <v>12.3</v>
      </c>
      <c r="L12" s="149">
        <v>88.3</v>
      </c>
      <c r="M12" s="149">
        <v>19.2</v>
      </c>
      <c r="N12" s="148">
        <v>16.399999999999999</v>
      </c>
      <c r="O12" s="150" t="s">
        <v>657</v>
      </c>
      <c r="P12" s="149">
        <v>12.9</v>
      </c>
      <c r="Q12" s="149">
        <v>140</v>
      </c>
      <c r="R12" s="149">
        <v>73</v>
      </c>
      <c r="S12" s="149">
        <v>4.7</v>
      </c>
      <c r="T12" s="149">
        <v>6.9</v>
      </c>
      <c r="U12" s="149">
        <v>7</v>
      </c>
      <c r="V12" s="149">
        <v>112.2</v>
      </c>
      <c r="W12" s="149">
        <v>5.29</v>
      </c>
      <c r="X12" s="149">
        <v>23.9</v>
      </c>
      <c r="Y12" s="149">
        <v>541</v>
      </c>
      <c r="Z12" s="149">
        <v>44.9</v>
      </c>
      <c r="AA12" s="149">
        <v>5.74</v>
      </c>
      <c r="AB12" s="149">
        <v>1.65</v>
      </c>
      <c r="AC12" s="149">
        <v>77.3</v>
      </c>
      <c r="AD12" s="149">
        <v>12.3</v>
      </c>
      <c r="AE12" s="149">
        <v>88.3</v>
      </c>
      <c r="AF12" s="149">
        <v>19.2</v>
      </c>
      <c r="AG12" s="149">
        <v>0.88</v>
      </c>
      <c r="AH12" s="149">
        <v>19.7</v>
      </c>
      <c r="AI12" s="149">
        <v>2E-3</v>
      </c>
      <c r="AJ12" s="149">
        <v>2.4</v>
      </c>
      <c r="AK12" s="148">
        <v>16.399999999999999</v>
      </c>
    </row>
    <row r="13" spans="1:37">
      <c r="A13" s="147" t="s">
        <v>656</v>
      </c>
      <c r="B13" s="146">
        <v>142</v>
      </c>
      <c r="C13" s="146">
        <v>72</v>
      </c>
      <c r="D13" s="146">
        <v>5.3</v>
      </c>
      <c r="E13" s="146">
        <v>7.8</v>
      </c>
      <c r="F13" s="146">
        <v>7</v>
      </c>
      <c r="G13" s="146">
        <v>112.4</v>
      </c>
      <c r="H13" s="146">
        <v>611</v>
      </c>
      <c r="I13" s="146">
        <v>48.8</v>
      </c>
      <c r="J13" s="146">
        <v>86.1</v>
      </c>
      <c r="K13" s="146">
        <v>13.5</v>
      </c>
      <c r="L13" s="146">
        <v>99.1</v>
      </c>
      <c r="M13" s="146">
        <v>21.3</v>
      </c>
      <c r="N13" s="145">
        <v>18.399999999999999</v>
      </c>
      <c r="O13" s="147" t="s">
        <v>656</v>
      </c>
      <c r="P13" s="146">
        <v>14.4</v>
      </c>
      <c r="Q13" s="146">
        <v>142</v>
      </c>
      <c r="R13" s="146">
        <v>72</v>
      </c>
      <c r="S13" s="146">
        <v>5.3</v>
      </c>
      <c r="T13" s="146">
        <v>7.8</v>
      </c>
      <c r="U13" s="146">
        <v>7</v>
      </c>
      <c r="V13" s="146">
        <v>112.4</v>
      </c>
      <c r="W13" s="146">
        <v>4.62</v>
      </c>
      <c r="X13" s="146">
        <v>21.2</v>
      </c>
      <c r="Y13" s="146">
        <v>611</v>
      </c>
      <c r="Z13" s="146">
        <v>48.8</v>
      </c>
      <c r="AA13" s="146">
        <v>5.77</v>
      </c>
      <c r="AB13" s="146">
        <v>1.63</v>
      </c>
      <c r="AC13" s="146">
        <v>86.1</v>
      </c>
      <c r="AD13" s="146">
        <v>13.5</v>
      </c>
      <c r="AE13" s="146">
        <v>99.1</v>
      </c>
      <c r="AF13" s="146">
        <v>21.3</v>
      </c>
      <c r="AG13" s="146">
        <v>0.879</v>
      </c>
      <c r="AH13" s="146">
        <v>17.8</v>
      </c>
      <c r="AI13" s="146">
        <v>2E-3</v>
      </c>
      <c r="AJ13" s="146">
        <v>3.36</v>
      </c>
      <c r="AK13" s="145">
        <v>18.399999999999999</v>
      </c>
    </row>
    <row r="14" spans="1:37">
      <c r="A14" s="150" t="s">
        <v>655</v>
      </c>
      <c r="B14" s="149">
        <v>157</v>
      </c>
      <c r="C14" s="149">
        <v>82</v>
      </c>
      <c r="D14" s="149">
        <v>4</v>
      </c>
      <c r="E14" s="149">
        <v>5.9</v>
      </c>
      <c r="F14" s="149">
        <v>9</v>
      </c>
      <c r="G14" s="149">
        <v>127.2</v>
      </c>
      <c r="H14" s="149">
        <v>689</v>
      </c>
      <c r="I14" s="149">
        <v>54.4</v>
      </c>
      <c r="J14" s="149">
        <v>87.8</v>
      </c>
      <c r="K14" s="149">
        <v>13.3</v>
      </c>
      <c r="L14" s="149">
        <v>99.1</v>
      </c>
      <c r="M14" s="149">
        <v>20.7</v>
      </c>
      <c r="N14" s="148">
        <v>16.2</v>
      </c>
      <c r="O14" s="150" t="s">
        <v>655</v>
      </c>
      <c r="P14" s="149">
        <v>12.7</v>
      </c>
      <c r="Q14" s="149">
        <v>157</v>
      </c>
      <c r="R14" s="149">
        <v>82</v>
      </c>
      <c r="S14" s="149">
        <v>4</v>
      </c>
      <c r="T14" s="149">
        <v>5.9</v>
      </c>
      <c r="U14" s="149">
        <v>9</v>
      </c>
      <c r="V14" s="149">
        <v>127.2</v>
      </c>
      <c r="W14" s="149">
        <v>6.95</v>
      </c>
      <c r="X14" s="149">
        <v>31.8</v>
      </c>
      <c r="Y14" s="149">
        <v>689</v>
      </c>
      <c r="Z14" s="149">
        <v>54.4</v>
      </c>
      <c r="AA14" s="149">
        <v>6.53</v>
      </c>
      <c r="AB14" s="149">
        <v>1.83</v>
      </c>
      <c r="AC14" s="149">
        <v>87.8</v>
      </c>
      <c r="AD14" s="149">
        <v>13.3</v>
      </c>
      <c r="AE14" s="149">
        <v>99.1</v>
      </c>
      <c r="AF14" s="149">
        <v>20.7</v>
      </c>
      <c r="AG14" s="149">
        <v>0.88200000000000001</v>
      </c>
      <c r="AH14" s="149">
        <v>24.7</v>
      </c>
      <c r="AI14" s="149">
        <v>3.0000000000000001E-3</v>
      </c>
      <c r="AJ14" s="149">
        <v>1.93</v>
      </c>
      <c r="AK14" s="148">
        <v>16.2</v>
      </c>
    </row>
    <row r="15" spans="1:37">
      <c r="A15" s="150" t="s">
        <v>654</v>
      </c>
      <c r="B15" s="149">
        <v>160</v>
      </c>
      <c r="C15" s="149">
        <v>82</v>
      </c>
      <c r="D15" s="149">
        <v>5</v>
      </c>
      <c r="E15" s="149">
        <v>7.4</v>
      </c>
      <c r="F15" s="149">
        <v>9</v>
      </c>
      <c r="G15" s="149">
        <v>127.2</v>
      </c>
      <c r="H15" s="149">
        <v>869</v>
      </c>
      <c r="I15" s="149">
        <v>68.3</v>
      </c>
      <c r="J15" s="149">
        <v>109</v>
      </c>
      <c r="K15" s="149">
        <v>16.7</v>
      </c>
      <c r="L15" s="149">
        <v>124</v>
      </c>
      <c r="M15" s="149">
        <v>26.1</v>
      </c>
      <c r="N15" s="148">
        <v>20.100000000000001</v>
      </c>
      <c r="O15" s="150" t="s">
        <v>654</v>
      </c>
      <c r="P15" s="149">
        <v>15.8</v>
      </c>
      <c r="Q15" s="149">
        <v>160</v>
      </c>
      <c r="R15" s="149">
        <v>82</v>
      </c>
      <c r="S15" s="149">
        <v>5</v>
      </c>
      <c r="T15" s="149">
        <v>7.4</v>
      </c>
      <c r="U15" s="149">
        <v>9</v>
      </c>
      <c r="V15" s="149">
        <v>127.2</v>
      </c>
      <c r="W15" s="149">
        <v>5.54</v>
      </c>
      <c r="X15" s="149">
        <v>25.4</v>
      </c>
      <c r="Y15" s="149">
        <v>869</v>
      </c>
      <c r="Z15" s="149">
        <v>68.3</v>
      </c>
      <c r="AA15" s="149">
        <v>6.58</v>
      </c>
      <c r="AB15" s="149">
        <v>1.84</v>
      </c>
      <c r="AC15" s="149">
        <v>109</v>
      </c>
      <c r="AD15" s="149">
        <v>16.7</v>
      </c>
      <c r="AE15" s="149">
        <v>124</v>
      </c>
      <c r="AF15" s="149">
        <v>26.1</v>
      </c>
      <c r="AG15" s="149">
        <v>0.88100000000000001</v>
      </c>
      <c r="AH15" s="149">
        <v>20.6</v>
      </c>
      <c r="AI15" s="149">
        <v>4.0000000000000001E-3</v>
      </c>
      <c r="AJ15" s="149">
        <v>3.54</v>
      </c>
      <c r="AK15" s="148">
        <v>20.100000000000001</v>
      </c>
    </row>
    <row r="16" spans="1:37">
      <c r="A16" s="147" t="s">
        <v>653</v>
      </c>
      <c r="B16" s="146">
        <v>162</v>
      </c>
      <c r="C16" s="146">
        <v>81</v>
      </c>
      <c r="D16" s="146">
        <v>5.6</v>
      </c>
      <c r="E16" s="146">
        <v>8.5</v>
      </c>
      <c r="F16" s="146">
        <v>9</v>
      </c>
      <c r="G16" s="146">
        <v>127</v>
      </c>
      <c r="H16" s="146">
        <v>989</v>
      </c>
      <c r="I16" s="146">
        <v>75.7</v>
      </c>
      <c r="J16" s="146">
        <v>122</v>
      </c>
      <c r="K16" s="146">
        <v>18.7</v>
      </c>
      <c r="L16" s="146">
        <v>140</v>
      </c>
      <c r="M16" s="146">
        <v>29.4</v>
      </c>
      <c r="N16" s="145">
        <v>22.6</v>
      </c>
      <c r="O16" s="147" t="s">
        <v>653</v>
      </c>
      <c r="P16" s="146">
        <v>17.7</v>
      </c>
      <c r="Q16" s="146">
        <v>162</v>
      </c>
      <c r="R16" s="146">
        <v>81</v>
      </c>
      <c r="S16" s="146">
        <v>5.6</v>
      </c>
      <c r="T16" s="146">
        <v>8.5</v>
      </c>
      <c r="U16" s="146">
        <v>9</v>
      </c>
      <c r="V16" s="146">
        <v>127</v>
      </c>
      <c r="W16" s="146">
        <v>4.76</v>
      </c>
      <c r="X16" s="146">
        <v>22.7</v>
      </c>
      <c r="Y16" s="146">
        <v>989</v>
      </c>
      <c r="Z16" s="146">
        <v>75.7</v>
      </c>
      <c r="AA16" s="146">
        <v>6.62</v>
      </c>
      <c r="AB16" s="146">
        <v>1.83</v>
      </c>
      <c r="AC16" s="146">
        <v>122</v>
      </c>
      <c r="AD16" s="146">
        <v>18.7</v>
      </c>
      <c r="AE16" s="146">
        <v>140</v>
      </c>
      <c r="AF16" s="146">
        <v>29.4</v>
      </c>
      <c r="AG16" s="146">
        <v>0.88100000000000001</v>
      </c>
      <c r="AH16" s="146">
        <v>18.399999999999999</v>
      </c>
      <c r="AI16" s="146">
        <v>4.0000000000000001E-3</v>
      </c>
      <c r="AJ16" s="146">
        <v>5.05</v>
      </c>
      <c r="AK16" s="145">
        <v>22.6</v>
      </c>
    </row>
    <row r="17" spans="1:37">
      <c r="A17" s="150" t="s">
        <v>652</v>
      </c>
      <c r="B17" s="149">
        <v>177</v>
      </c>
      <c r="C17" s="149">
        <v>91</v>
      </c>
      <c r="D17" s="149">
        <v>4.3</v>
      </c>
      <c r="E17" s="149">
        <v>6.5</v>
      </c>
      <c r="F17" s="149">
        <v>9</v>
      </c>
      <c r="G17" s="149">
        <v>146</v>
      </c>
      <c r="H17" s="149">
        <v>1063</v>
      </c>
      <c r="I17" s="149">
        <v>81.900000000000006</v>
      </c>
      <c r="J17" s="149">
        <v>120</v>
      </c>
      <c r="K17" s="149">
        <v>18</v>
      </c>
      <c r="L17" s="149">
        <v>135</v>
      </c>
      <c r="M17" s="149">
        <v>28</v>
      </c>
      <c r="N17" s="148">
        <v>19.600000000000001</v>
      </c>
      <c r="O17" s="150" t="s">
        <v>652</v>
      </c>
      <c r="P17" s="149">
        <v>15.4</v>
      </c>
      <c r="Q17" s="149">
        <v>177</v>
      </c>
      <c r="R17" s="149">
        <v>91</v>
      </c>
      <c r="S17" s="149">
        <v>4.3</v>
      </c>
      <c r="T17" s="149">
        <v>6.5</v>
      </c>
      <c r="U17" s="149">
        <v>9</v>
      </c>
      <c r="V17" s="149">
        <v>146</v>
      </c>
      <c r="W17" s="149">
        <v>7</v>
      </c>
      <c r="X17" s="149">
        <v>34</v>
      </c>
      <c r="Y17" s="149">
        <v>1063</v>
      </c>
      <c r="Z17" s="149">
        <v>81.900000000000006</v>
      </c>
      <c r="AA17" s="149">
        <v>7.37</v>
      </c>
      <c r="AB17" s="149">
        <v>2.0499999999999998</v>
      </c>
      <c r="AC17" s="149">
        <v>120</v>
      </c>
      <c r="AD17" s="149">
        <v>18</v>
      </c>
      <c r="AE17" s="149">
        <v>135</v>
      </c>
      <c r="AF17" s="149">
        <v>28</v>
      </c>
      <c r="AG17" s="149">
        <v>0.88300000000000001</v>
      </c>
      <c r="AH17" s="149">
        <v>26.1</v>
      </c>
      <c r="AI17" s="149">
        <v>6.0000000000000001E-3</v>
      </c>
      <c r="AJ17" s="149">
        <v>2.67</v>
      </c>
      <c r="AK17" s="148">
        <v>19.600000000000001</v>
      </c>
    </row>
    <row r="18" spans="1:37">
      <c r="A18" s="150" t="s">
        <v>651</v>
      </c>
      <c r="B18" s="149">
        <v>180</v>
      </c>
      <c r="C18" s="149">
        <v>91</v>
      </c>
      <c r="D18" s="149">
        <v>5.3</v>
      </c>
      <c r="E18" s="149">
        <v>8</v>
      </c>
      <c r="F18" s="149">
        <v>9</v>
      </c>
      <c r="G18" s="149">
        <v>146</v>
      </c>
      <c r="H18" s="149">
        <v>1317</v>
      </c>
      <c r="I18" s="149">
        <v>101</v>
      </c>
      <c r="J18" s="149">
        <v>146</v>
      </c>
      <c r="K18" s="149">
        <v>22.2</v>
      </c>
      <c r="L18" s="149">
        <v>166</v>
      </c>
      <c r="M18" s="149">
        <v>34.6</v>
      </c>
      <c r="N18" s="148">
        <v>23.9</v>
      </c>
      <c r="O18" s="150" t="s">
        <v>651</v>
      </c>
      <c r="P18" s="149">
        <v>18.8</v>
      </c>
      <c r="Q18" s="149">
        <v>180</v>
      </c>
      <c r="R18" s="149">
        <v>91</v>
      </c>
      <c r="S18" s="149">
        <v>5.3</v>
      </c>
      <c r="T18" s="149">
        <v>8</v>
      </c>
      <c r="U18" s="149">
        <v>9</v>
      </c>
      <c r="V18" s="149">
        <v>146</v>
      </c>
      <c r="W18" s="149">
        <v>5.69</v>
      </c>
      <c r="X18" s="149">
        <v>27.5</v>
      </c>
      <c r="Y18" s="149">
        <v>1317</v>
      </c>
      <c r="Z18" s="149">
        <v>101</v>
      </c>
      <c r="AA18" s="149">
        <v>7.42</v>
      </c>
      <c r="AB18" s="149">
        <v>2.0499999999999998</v>
      </c>
      <c r="AC18" s="149">
        <v>146</v>
      </c>
      <c r="AD18" s="149">
        <v>22.2</v>
      </c>
      <c r="AE18" s="149">
        <v>166</v>
      </c>
      <c r="AF18" s="149">
        <v>34.6</v>
      </c>
      <c r="AG18" s="149">
        <v>0.88100000000000001</v>
      </c>
      <c r="AH18" s="149">
        <v>21.9</v>
      </c>
      <c r="AI18" s="149">
        <v>7.0000000000000001E-3</v>
      </c>
      <c r="AJ18" s="149">
        <v>4.7300000000000004</v>
      </c>
      <c r="AK18" s="148">
        <v>23.9</v>
      </c>
    </row>
    <row r="19" spans="1:37">
      <c r="A19" s="150" t="s">
        <v>650</v>
      </c>
      <c r="B19" s="149">
        <v>182</v>
      </c>
      <c r="C19" s="149">
        <v>92</v>
      </c>
      <c r="D19" s="149">
        <v>6</v>
      </c>
      <c r="E19" s="149">
        <v>9</v>
      </c>
      <c r="F19" s="149">
        <v>9</v>
      </c>
      <c r="G19" s="149">
        <v>146</v>
      </c>
      <c r="H19" s="149">
        <v>1505</v>
      </c>
      <c r="I19" s="149">
        <v>117</v>
      </c>
      <c r="J19" s="149">
        <v>165</v>
      </c>
      <c r="K19" s="149">
        <v>25.5</v>
      </c>
      <c r="L19" s="149">
        <v>189</v>
      </c>
      <c r="M19" s="149">
        <v>39.9</v>
      </c>
      <c r="N19" s="148">
        <v>27.1</v>
      </c>
      <c r="O19" s="150" t="s">
        <v>650</v>
      </c>
      <c r="P19" s="149">
        <v>21.3</v>
      </c>
      <c r="Q19" s="149">
        <v>182</v>
      </c>
      <c r="R19" s="149">
        <v>92</v>
      </c>
      <c r="S19" s="149">
        <v>6</v>
      </c>
      <c r="T19" s="149">
        <v>9</v>
      </c>
      <c r="U19" s="149">
        <v>9</v>
      </c>
      <c r="V19" s="149">
        <v>146</v>
      </c>
      <c r="W19" s="149">
        <v>5.1100000000000003</v>
      </c>
      <c r="X19" s="149">
        <v>24.3</v>
      </c>
      <c r="Y19" s="149">
        <v>1505</v>
      </c>
      <c r="Z19" s="149">
        <v>117</v>
      </c>
      <c r="AA19" s="149">
        <v>7.45</v>
      </c>
      <c r="AB19" s="149">
        <v>2.08</v>
      </c>
      <c r="AC19" s="149">
        <v>165</v>
      </c>
      <c r="AD19" s="149">
        <v>25.5</v>
      </c>
      <c r="AE19" s="149">
        <v>189</v>
      </c>
      <c r="AF19" s="149">
        <v>39.9</v>
      </c>
      <c r="AG19" s="149">
        <v>0.88</v>
      </c>
      <c r="AH19" s="149">
        <v>19.8</v>
      </c>
      <c r="AI19" s="149">
        <v>8.9999999999999993E-3</v>
      </c>
      <c r="AJ19" s="149">
        <v>6.65</v>
      </c>
      <c r="AK19" s="148">
        <v>27.1</v>
      </c>
    </row>
    <row r="20" spans="1:37">
      <c r="A20" s="147" t="s">
        <v>649</v>
      </c>
      <c r="B20" s="146">
        <v>183</v>
      </c>
      <c r="C20" s="146">
        <v>89</v>
      </c>
      <c r="D20" s="146">
        <v>6.4</v>
      </c>
      <c r="E20" s="146">
        <v>9.5</v>
      </c>
      <c r="F20" s="146">
        <v>9</v>
      </c>
      <c r="G20" s="146">
        <v>146</v>
      </c>
      <c r="H20" s="146">
        <v>1554</v>
      </c>
      <c r="I20" s="146">
        <v>112</v>
      </c>
      <c r="J20" s="146">
        <v>170</v>
      </c>
      <c r="K20" s="146">
        <v>25.2</v>
      </c>
      <c r="L20" s="146">
        <v>195</v>
      </c>
      <c r="M20" s="146">
        <v>39.700000000000003</v>
      </c>
      <c r="N20" s="145">
        <v>28.1</v>
      </c>
      <c r="O20" s="147" t="s">
        <v>649</v>
      </c>
      <c r="P20" s="146">
        <v>22.1</v>
      </c>
      <c r="Q20" s="146">
        <v>183</v>
      </c>
      <c r="R20" s="146">
        <v>89</v>
      </c>
      <c r="S20" s="146">
        <v>6.4</v>
      </c>
      <c r="T20" s="146">
        <v>9.5</v>
      </c>
      <c r="U20" s="146">
        <v>9</v>
      </c>
      <c r="V20" s="146">
        <v>146</v>
      </c>
      <c r="W20" s="146">
        <v>4.68</v>
      </c>
      <c r="X20" s="146">
        <v>22.8</v>
      </c>
      <c r="Y20" s="146">
        <v>1554</v>
      </c>
      <c r="Z20" s="146">
        <v>112</v>
      </c>
      <c r="AA20" s="146">
        <v>7.44</v>
      </c>
      <c r="AB20" s="146">
        <v>2</v>
      </c>
      <c r="AC20" s="146">
        <v>170</v>
      </c>
      <c r="AD20" s="146">
        <v>25.2</v>
      </c>
      <c r="AE20" s="146">
        <v>195</v>
      </c>
      <c r="AF20" s="146">
        <v>39.700000000000003</v>
      </c>
      <c r="AG20" s="146">
        <v>0.878</v>
      </c>
      <c r="AH20" s="146">
        <v>18.8</v>
      </c>
      <c r="AI20" s="146">
        <v>8.0000000000000002E-3</v>
      </c>
      <c r="AJ20" s="146">
        <v>7.63</v>
      </c>
      <c r="AK20" s="145">
        <v>28.1</v>
      </c>
    </row>
    <row r="21" spans="1:37">
      <c r="A21" s="150" t="s">
        <v>648</v>
      </c>
      <c r="B21" s="149">
        <v>197</v>
      </c>
      <c r="C21" s="149">
        <v>100</v>
      </c>
      <c r="D21" s="149">
        <v>4.5</v>
      </c>
      <c r="E21" s="149">
        <v>7</v>
      </c>
      <c r="F21" s="149">
        <v>12</v>
      </c>
      <c r="G21" s="149">
        <v>159</v>
      </c>
      <c r="H21" s="149">
        <v>1591</v>
      </c>
      <c r="I21" s="149">
        <v>117</v>
      </c>
      <c r="J21" s="149">
        <v>162</v>
      </c>
      <c r="K21" s="149">
        <v>23.4</v>
      </c>
      <c r="L21" s="149">
        <v>182</v>
      </c>
      <c r="M21" s="149">
        <v>36.5</v>
      </c>
      <c r="N21" s="148">
        <v>23.5</v>
      </c>
      <c r="O21" s="150" t="s">
        <v>648</v>
      </c>
      <c r="P21" s="149">
        <v>18.399999999999999</v>
      </c>
      <c r="Q21" s="149">
        <v>197</v>
      </c>
      <c r="R21" s="149">
        <v>100</v>
      </c>
      <c r="S21" s="149">
        <v>4.5</v>
      </c>
      <c r="T21" s="149">
        <v>7</v>
      </c>
      <c r="U21" s="149">
        <v>12</v>
      </c>
      <c r="V21" s="149">
        <v>159</v>
      </c>
      <c r="W21" s="149">
        <v>7.14</v>
      </c>
      <c r="X21" s="149">
        <v>35.299999999999997</v>
      </c>
      <c r="Y21" s="149">
        <v>1591</v>
      </c>
      <c r="Z21" s="149">
        <v>117</v>
      </c>
      <c r="AA21" s="149">
        <v>8.23</v>
      </c>
      <c r="AB21" s="149">
        <v>2.23</v>
      </c>
      <c r="AC21" s="149">
        <v>162</v>
      </c>
      <c r="AD21" s="149">
        <v>23.4</v>
      </c>
      <c r="AE21" s="149">
        <v>182</v>
      </c>
      <c r="AF21" s="149">
        <v>36.5</v>
      </c>
      <c r="AG21" s="149">
        <v>0.88600000000000001</v>
      </c>
      <c r="AH21" s="149">
        <v>25.6</v>
      </c>
      <c r="AI21" s="149">
        <v>1.0999999999999999E-2</v>
      </c>
      <c r="AJ21" s="149">
        <v>4.1399999999999997</v>
      </c>
      <c r="AK21" s="148">
        <v>23.5</v>
      </c>
    </row>
    <row r="22" spans="1:37">
      <c r="A22" s="150" t="s">
        <v>647</v>
      </c>
      <c r="B22" s="149">
        <v>200</v>
      </c>
      <c r="C22" s="149">
        <v>100</v>
      </c>
      <c r="D22" s="149">
        <v>5.6</v>
      </c>
      <c r="E22" s="149">
        <v>8.5</v>
      </c>
      <c r="F22" s="149">
        <v>12</v>
      </c>
      <c r="G22" s="149">
        <v>159</v>
      </c>
      <c r="H22" s="149">
        <v>1943</v>
      </c>
      <c r="I22" s="149">
        <v>142</v>
      </c>
      <c r="J22" s="149">
        <v>194</v>
      </c>
      <c r="K22" s="149">
        <v>28.5</v>
      </c>
      <c r="L22" s="149">
        <v>221</v>
      </c>
      <c r="M22" s="149">
        <v>44.6</v>
      </c>
      <c r="N22" s="148">
        <v>28.5</v>
      </c>
      <c r="O22" s="150" t="s">
        <v>647</v>
      </c>
      <c r="P22" s="149">
        <v>22.4</v>
      </c>
      <c r="Q22" s="149">
        <v>200</v>
      </c>
      <c r="R22" s="149">
        <v>100</v>
      </c>
      <c r="S22" s="149">
        <v>5.6</v>
      </c>
      <c r="T22" s="149">
        <v>8.5</v>
      </c>
      <c r="U22" s="149">
        <v>12</v>
      </c>
      <c r="V22" s="149">
        <v>159</v>
      </c>
      <c r="W22" s="149">
        <v>5.88</v>
      </c>
      <c r="X22" s="149">
        <v>28.4</v>
      </c>
      <c r="Y22" s="149">
        <v>1943</v>
      </c>
      <c r="Z22" s="149">
        <v>142</v>
      </c>
      <c r="AA22" s="149">
        <v>8.26</v>
      </c>
      <c r="AB22" s="149">
        <v>2.2400000000000002</v>
      </c>
      <c r="AC22" s="149">
        <v>194</v>
      </c>
      <c r="AD22" s="149">
        <v>28.5</v>
      </c>
      <c r="AE22" s="149">
        <v>221</v>
      </c>
      <c r="AF22" s="149">
        <v>44.6</v>
      </c>
      <c r="AG22" s="149">
        <v>0.88200000000000001</v>
      </c>
      <c r="AH22" s="149">
        <v>22</v>
      </c>
      <c r="AI22" s="149">
        <v>1.2999999999999999E-2</v>
      </c>
      <c r="AJ22" s="149">
        <v>6.92</v>
      </c>
      <c r="AK22" s="148">
        <v>28.5</v>
      </c>
    </row>
    <row r="23" spans="1:37">
      <c r="A23" s="150" t="s">
        <v>646</v>
      </c>
      <c r="B23" s="149">
        <v>202</v>
      </c>
      <c r="C23" s="149">
        <v>102</v>
      </c>
      <c r="D23" s="149">
        <v>6.2</v>
      </c>
      <c r="E23" s="149">
        <v>9.5</v>
      </c>
      <c r="F23" s="149">
        <v>12</v>
      </c>
      <c r="G23" s="149">
        <v>159</v>
      </c>
      <c r="H23" s="149">
        <v>2211</v>
      </c>
      <c r="I23" s="149">
        <v>169</v>
      </c>
      <c r="J23" s="149">
        <v>219</v>
      </c>
      <c r="K23" s="149">
        <v>33.1</v>
      </c>
      <c r="L23" s="149">
        <v>249</v>
      </c>
      <c r="M23" s="149">
        <v>51.9</v>
      </c>
      <c r="N23" s="148">
        <v>32</v>
      </c>
      <c r="O23" s="150" t="s">
        <v>646</v>
      </c>
      <c r="P23" s="149">
        <v>25.1</v>
      </c>
      <c r="Q23" s="149">
        <v>202</v>
      </c>
      <c r="R23" s="149">
        <v>102</v>
      </c>
      <c r="S23" s="149">
        <v>6.2</v>
      </c>
      <c r="T23" s="149">
        <v>9.5</v>
      </c>
      <c r="U23" s="149">
        <v>12</v>
      </c>
      <c r="V23" s="149">
        <v>159</v>
      </c>
      <c r="W23" s="149">
        <v>5.37</v>
      </c>
      <c r="X23" s="149">
        <v>25.6</v>
      </c>
      <c r="Y23" s="149">
        <v>2211</v>
      </c>
      <c r="Z23" s="149">
        <v>169</v>
      </c>
      <c r="AA23" s="149">
        <v>8.32</v>
      </c>
      <c r="AB23" s="149">
        <v>2.2999999999999998</v>
      </c>
      <c r="AC23" s="149">
        <v>219</v>
      </c>
      <c r="AD23" s="149">
        <v>33.1</v>
      </c>
      <c r="AE23" s="149">
        <v>249</v>
      </c>
      <c r="AF23" s="149">
        <v>51.9</v>
      </c>
      <c r="AG23" s="149">
        <v>0.88300000000000001</v>
      </c>
      <c r="AH23" s="149">
        <v>20.100000000000001</v>
      </c>
      <c r="AI23" s="149">
        <v>1.6E-2</v>
      </c>
      <c r="AJ23" s="149">
        <v>9.36</v>
      </c>
      <c r="AK23" s="148">
        <v>32</v>
      </c>
    </row>
    <row r="24" spans="1:37">
      <c r="A24" s="147" t="s">
        <v>645</v>
      </c>
      <c r="B24" s="146">
        <v>204</v>
      </c>
      <c r="C24" s="146">
        <v>98</v>
      </c>
      <c r="D24" s="146">
        <v>6.6</v>
      </c>
      <c r="E24" s="146">
        <v>10.5</v>
      </c>
      <c r="F24" s="146">
        <v>12</v>
      </c>
      <c r="G24" s="146">
        <v>159</v>
      </c>
      <c r="H24" s="146">
        <v>2363</v>
      </c>
      <c r="I24" s="146">
        <v>166</v>
      </c>
      <c r="J24" s="146">
        <v>232</v>
      </c>
      <c r="K24" s="146">
        <v>33.799999999999997</v>
      </c>
      <c r="L24" s="146">
        <v>265</v>
      </c>
      <c r="M24" s="146">
        <v>53.2</v>
      </c>
      <c r="N24" s="145">
        <v>33.9</v>
      </c>
      <c r="O24" s="147" t="s">
        <v>645</v>
      </c>
      <c r="P24" s="146">
        <v>26.6</v>
      </c>
      <c r="Q24" s="146">
        <v>204</v>
      </c>
      <c r="R24" s="146">
        <v>98</v>
      </c>
      <c r="S24" s="146">
        <v>6.6</v>
      </c>
      <c r="T24" s="146">
        <v>10.5</v>
      </c>
      <c r="U24" s="146">
        <v>12</v>
      </c>
      <c r="V24" s="146">
        <v>159</v>
      </c>
      <c r="W24" s="146">
        <v>4.67</v>
      </c>
      <c r="X24" s="146">
        <v>24.1</v>
      </c>
      <c r="Y24" s="146">
        <v>2363</v>
      </c>
      <c r="Z24" s="146">
        <v>166</v>
      </c>
      <c r="AA24" s="146">
        <v>8.35</v>
      </c>
      <c r="AB24" s="146">
        <v>2.21</v>
      </c>
      <c r="AC24" s="146">
        <v>232</v>
      </c>
      <c r="AD24" s="146">
        <v>33.799999999999997</v>
      </c>
      <c r="AE24" s="146">
        <v>265</v>
      </c>
      <c r="AF24" s="146">
        <v>53.2</v>
      </c>
      <c r="AG24" s="146">
        <v>0.88300000000000001</v>
      </c>
      <c r="AH24" s="146">
        <v>18.7</v>
      </c>
      <c r="AI24" s="146">
        <v>1.6E-2</v>
      </c>
      <c r="AJ24" s="146">
        <v>11.7</v>
      </c>
      <c r="AK24" s="145">
        <v>33.9</v>
      </c>
    </row>
    <row r="25" spans="1:37">
      <c r="A25" s="150" t="s">
        <v>644</v>
      </c>
      <c r="B25" s="149">
        <v>217</v>
      </c>
      <c r="C25" s="149">
        <v>110</v>
      </c>
      <c r="D25" s="149">
        <v>5</v>
      </c>
      <c r="E25" s="149">
        <v>7.7</v>
      </c>
      <c r="F25" s="149">
        <v>12</v>
      </c>
      <c r="G25" s="149">
        <v>177.6</v>
      </c>
      <c r="H25" s="149">
        <v>2317</v>
      </c>
      <c r="I25" s="149">
        <v>171</v>
      </c>
      <c r="J25" s="149">
        <v>214</v>
      </c>
      <c r="K25" s="149">
        <v>31.2</v>
      </c>
      <c r="L25" s="149">
        <v>240</v>
      </c>
      <c r="M25" s="149">
        <v>48.5</v>
      </c>
      <c r="N25" s="148">
        <v>28.3</v>
      </c>
      <c r="O25" s="150" t="s">
        <v>644</v>
      </c>
      <c r="P25" s="149">
        <v>22.2</v>
      </c>
      <c r="Q25" s="149">
        <v>217</v>
      </c>
      <c r="R25" s="149">
        <v>110</v>
      </c>
      <c r="S25" s="149">
        <v>5</v>
      </c>
      <c r="T25" s="149">
        <v>7.7</v>
      </c>
      <c r="U25" s="149">
        <v>12</v>
      </c>
      <c r="V25" s="149">
        <v>177.6</v>
      </c>
      <c r="W25" s="149">
        <v>7.14</v>
      </c>
      <c r="X25" s="149">
        <v>35.5</v>
      </c>
      <c r="Y25" s="149">
        <v>2317</v>
      </c>
      <c r="Z25" s="149">
        <v>171</v>
      </c>
      <c r="AA25" s="149">
        <v>9.0500000000000007</v>
      </c>
      <c r="AB25" s="149">
        <v>2.46</v>
      </c>
      <c r="AC25" s="149">
        <v>214</v>
      </c>
      <c r="AD25" s="149">
        <v>31.2</v>
      </c>
      <c r="AE25" s="149">
        <v>240</v>
      </c>
      <c r="AF25" s="149">
        <v>48.5</v>
      </c>
      <c r="AG25" s="149">
        <v>0.88400000000000001</v>
      </c>
      <c r="AH25" s="149">
        <v>26.4</v>
      </c>
      <c r="AI25" s="149">
        <v>1.9E-2</v>
      </c>
      <c r="AJ25" s="149">
        <v>5.68</v>
      </c>
      <c r="AK25" s="148">
        <v>28.3</v>
      </c>
    </row>
    <row r="26" spans="1:37">
      <c r="A26" s="150" t="s">
        <v>643</v>
      </c>
      <c r="B26" s="149">
        <v>220</v>
      </c>
      <c r="C26" s="149">
        <v>110</v>
      </c>
      <c r="D26" s="149">
        <v>5.9</v>
      </c>
      <c r="E26" s="149">
        <v>9.1999999999999993</v>
      </c>
      <c r="F26" s="149">
        <v>12</v>
      </c>
      <c r="G26" s="149">
        <v>177.6</v>
      </c>
      <c r="H26" s="149">
        <v>2772</v>
      </c>
      <c r="I26" s="149">
        <v>205</v>
      </c>
      <c r="J26" s="149">
        <v>252</v>
      </c>
      <c r="K26" s="149">
        <v>37.299999999999997</v>
      </c>
      <c r="L26" s="149">
        <v>285</v>
      </c>
      <c r="M26" s="149">
        <v>58.1</v>
      </c>
      <c r="N26" s="148">
        <v>33.4</v>
      </c>
      <c r="O26" s="150" t="s">
        <v>643</v>
      </c>
      <c r="P26" s="149">
        <v>26.2</v>
      </c>
      <c r="Q26" s="149">
        <v>220</v>
      </c>
      <c r="R26" s="149">
        <v>110</v>
      </c>
      <c r="S26" s="149">
        <v>5.9</v>
      </c>
      <c r="T26" s="149">
        <v>9.1999999999999993</v>
      </c>
      <c r="U26" s="149">
        <v>12</v>
      </c>
      <c r="V26" s="149">
        <v>177.6</v>
      </c>
      <c r="W26" s="149">
        <v>5.98</v>
      </c>
      <c r="X26" s="149">
        <v>30.1</v>
      </c>
      <c r="Y26" s="149">
        <v>2772</v>
      </c>
      <c r="Z26" s="149">
        <v>205</v>
      </c>
      <c r="AA26" s="149">
        <v>9.11</v>
      </c>
      <c r="AB26" s="149">
        <v>2.48</v>
      </c>
      <c r="AC26" s="149">
        <v>252</v>
      </c>
      <c r="AD26" s="149">
        <v>37.299999999999997</v>
      </c>
      <c r="AE26" s="149">
        <v>285</v>
      </c>
      <c r="AF26" s="149">
        <v>58.1</v>
      </c>
      <c r="AG26" s="149">
        <v>0.88400000000000001</v>
      </c>
      <c r="AH26" s="149">
        <v>22.9</v>
      </c>
      <c r="AI26" s="149">
        <v>2.3E-2</v>
      </c>
      <c r="AJ26" s="149">
        <v>9.0299999999999994</v>
      </c>
      <c r="AK26" s="148">
        <v>33.4</v>
      </c>
    </row>
    <row r="27" spans="1:37">
      <c r="A27" s="150" t="s">
        <v>642</v>
      </c>
      <c r="B27" s="149">
        <v>222</v>
      </c>
      <c r="C27" s="149">
        <v>112</v>
      </c>
      <c r="D27" s="149">
        <v>6.6</v>
      </c>
      <c r="E27" s="149">
        <v>10.199999999999999</v>
      </c>
      <c r="F27" s="149">
        <v>12</v>
      </c>
      <c r="G27" s="149">
        <v>177.6</v>
      </c>
      <c r="H27" s="149">
        <v>3134</v>
      </c>
      <c r="I27" s="149">
        <v>240</v>
      </c>
      <c r="J27" s="149">
        <v>282</v>
      </c>
      <c r="K27" s="149">
        <v>42.8</v>
      </c>
      <c r="L27" s="149">
        <v>321</v>
      </c>
      <c r="M27" s="149">
        <v>66.900000000000006</v>
      </c>
      <c r="N27" s="148">
        <v>37.4</v>
      </c>
      <c r="O27" s="150" t="s">
        <v>642</v>
      </c>
      <c r="P27" s="149">
        <v>29.4</v>
      </c>
      <c r="Q27" s="149">
        <v>222</v>
      </c>
      <c r="R27" s="149">
        <v>112</v>
      </c>
      <c r="S27" s="149">
        <v>6.6</v>
      </c>
      <c r="T27" s="149">
        <v>10.199999999999999</v>
      </c>
      <c r="U27" s="149">
        <v>12</v>
      </c>
      <c r="V27" s="149">
        <v>177.6</v>
      </c>
      <c r="W27" s="149">
        <v>5.49</v>
      </c>
      <c r="X27" s="149">
        <v>26.9</v>
      </c>
      <c r="Y27" s="149">
        <v>3134</v>
      </c>
      <c r="Z27" s="149">
        <v>240</v>
      </c>
      <c r="AA27" s="149">
        <v>9.16</v>
      </c>
      <c r="AB27" s="149">
        <v>2.5299999999999998</v>
      </c>
      <c r="AC27" s="149">
        <v>282</v>
      </c>
      <c r="AD27" s="149">
        <v>42.8</v>
      </c>
      <c r="AE27" s="149">
        <v>321</v>
      </c>
      <c r="AF27" s="149">
        <v>66.900000000000006</v>
      </c>
      <c r="AG27" s="149">
        <v>0.88300000000000001</v>
      </c>
      <c r="AH27" s="149">
        <v>21</v>
      </c>
      <c r="AI27" s="149">
        <v>2.7E-2</v>
      </c>
      <c r="AJ27" s="149">
        <v>12.2</v>
      </c>
      <c r="AK27" s="148">
        <v>37.4</v>
      </c>
    </row>
    <row r="28" spans="1:37">
      <c r="A28" s="147" t="s">
        <v>641</v>
      </c>
      <c r="B28" s="146">
        <v>225</v>
      </c>
      <c r="C28" s="146">
        <v>108</v>
      </c>
      <c r="D28" s="146">
        <v>6.7</v>
      </c>
      <c r="E28" s="146">
        <v>11.8</v>
      </c>
      <c r="F28" s="146">
        <v>12</v>
      </c>
      <c r="G28" s="146">
        <v>177.4</v>
      </c>
      <c r="H28" s="146">
        <v>3474</v>
      </c>
      <c r="I28" s="146">
        <v>249</v>
      </c>
      <c r="J28" s="146">
        <v>309</v>
      </c>
      <c r="K28" s="146">
        <v>46.1</v>
      </c>
      <c r="L28" s="146">
        <v>352</v>
      </c>
      <c r="M28" s="146">
        <v>71.8</v>
      </c>
      <c r="N28" s="145">
        <v>40.200000000000003</v>
      </c>
      <c r="O28" s="147" t="s">
        <v>641</v>
      </c>
      <c r="P28" s="146">
        <v>31.6</v>
      </c>
      <c r="Q28" s="146">
        <v>225</v>
      </c>
      <c r="R28" s="146">
        <v>108</v>
      </c>
      <c r="S28" s="146">
        <v>6.7</v>
      </c>
      <c r="T28" s="146">
        <v>11.8</v>
      </c>
      <c r="U28" s="146">
        <v>12</v>
      </c>
      <c r="V28" s="146">
        <v>177.4</v>
      </c>
      <c r="W28" s="146">
        <v>4.58</v>
      </c>
      <c r="X28" s="146">
        <v>26.5</v>
      </c>
      <c r="Y28" s="146">
        <v>3474</v>
      </c>
      <c r="Z28" s="146">
        <v>249</v>
      </c>
      <c r="AA28" s="146">
        <v>9.2899999999999991</v>
      </c>
      <c r="AB28" s="146">
        <v>2.4900000000000002</v>
      </c>
      <c r="AC28" s="146">
        <v>309</v>
      </c>
      <c r="AD28" s="146">
        <v>46.1</v>
      </c>
      <c r="AE28" s="146">
        <v>352</v>
      </c>
      <c r="AF28" s="146">
        <v>71.8</v>
      </c>
      <c r="AG28" s="146">
        <v>0.88900000000000001</v>
      </c>
      <c r="AH28" s="146">
        <v>18.899999999999999</v>
      </c>
      <c r="AI28" s="146">
        <v>2.8000000000000001E-2</v>
      </c>
      <c r="AJ28" s="146">
        <v>16.399999999999999</v>
      </c>
      <c r="AK28" s="145">
        <v>40.200000000000003</v>
      </c>
    </row>
    <row r="29" spans="1:37">
      <c r="A29" s="150" t="s">
        <v>640</v>
      </c>
      <c r="B29" s="149">
        <v>237</v>
      </c>
      <c r="C29" s="149">
        <v>120</v>
      </c>
      <c r="D29" s="149">
        <v>5.2</v>
      </c>
      <c r="E29" s="149">
        <v>8.3000000000000007</v>
      </c>
      <c r="F29" s="149">
        <v>15</v>
      </c>
      <c r="G29" s="149">
        <v>190.4</v>
      </c>
      <c r="H29" s="149">
        <v>3290</v>
      </c>
      <c r="I29" s="149">
        <v>240</v>
      </c>
      <c r="J29" s="149">
        <v>278</v>
      </c>
      <c r="K29" s="149">
        <v>40</v>
      </c>
      <c r="L29" s="149">
        <v>312</v>
      </c>
      <c r="M29" s="149">
        <v>62.4</v>
      </c>
      <c r="N29" s="148">
        <v>33.299999999999997</v>
      </c>
      <c r="O29" s="150" t="s">
        <v>640</v>
      </c>
      <c r="P29" s="149">
        <v>26.2</v>
      </c>
      <c r="Q29" s="149">
        <v>237</v>
      </c>
      <c r="R29" s="149">
        <v>120</v>
      </c>
      <c r="S29" s="149">
        <v>5.2</v>
      </c>
      <c r="T29" s="149">
        <v>8.3000000000000007</v>
      </c>
      <c r="U29" s="149">
        <v>15</v>
      </c>
      <c r="V29" s="149">
        <v>190.4</v>
      </c>
      <c r="W29" s="149">
        <v>7.23</v>
      </c>
      <c r="X29" s="149">
        <v>36.6</v>
      </c>
      <c r="Y29" s="149">
        <v>3290</v>
      </c>
      <c r="Z29" s="149">
        <v>240</v>
      </c>
      <c r="AA29" s="149">
        <v>9.94</v>
      </c>
      <c r="AB29" s="149">
        <v>2.68</v>
      </c>
      <c r="AC29" s="149">
        <v>278</v>
      </c>
      <c r="AD29" s="149">
        <v>40</v>
      </c>
      <c r="AE29" s="149">
        <v>312</v>
      </c>
      <c r="AF29" s="149">
        <v>62.4</v>
      </c>
      <c r="AG29" s="149">
        <v>0.88700000000000001</v>
      </c>
      <c r="AH29" s="149">
        <v>25.6</v>
      </c>
      <c r="AI29" s="149">
        <v>3.1E-2</v>
      </c>
      <c r="AJ29" s="149">
        <v>8.5</v>
      </c>
      <c r="AK29" s="148">
        <v>33.299999999999997</v>
      </c>
    </row>
    <row r="30" spans="1:37">
      <c r="A30" s="150" t="s">
        <v>639</v>
      </c>
      <c r="B30" s="149">
        <v>240</v>
      </c>
      <c r="C30" s="149">
        <v>120</v>
      </c>
      <c r="D30" s="149">
        <v>6.2</v>
      </c>
      <c r="E30" s="149">
        <v>9.8000000000000007</v>
      </c>
      <c r="F30" s="149">
        <v>15</v>
      </c>
      <c r="G30" s="149">
        <v>190.4</v>
      </c>
      <c r="H30" s="149">
        <v>3892</v>
      </c>
      <c r="I30" s="149">
        <v>284</v>
      </c>
      <c r="J30" s="149">
        <v>324</v>
      </c>
      <c r="K30" s="149">
        <v>47.3</v>
      </c>
      <c r="L30" s="149">
        <v>367</v>
      </c>
      <c r="M30" s="149">
        <v>73.900000000000006</v>
      </c>
      <c r="N30" s="148">
        <v>39.1</v>
      </c>
      <c r="O30" s="150" t="s">
        <v>639</v>
      </c>
      <c r="P30" s="149">
        <v>30.7</v>
      </c>
      <c r="Q30" s="149">
        <v>240</v>
      </c>
      <c r="R30" s="149">
        <v>120</v>
      </c>
      <c r="S30" s="149">
        <v>6.2</v>
      </c>
      <c r="T30" s="149">
        <v>9.8000000000000007</v>
      </c>
      <c r="U30" s="149">
        <v>15</v>
      </c>
      <c r="V30" s="149">
        <v>190.4</v>
      </c>
      <c r="W30" s="149">
        <v>6.12</v>
      </c>
      <c r="X30" s="149">
        <v>30.7</v>
      </c>
      <c r="Y30" s="149">
        <v>3892</v>
      </c>
      <c r="Z30" s="149">
        <v>284</v>
      </c>
      <c r="AA30" s="149">
        <v>9.9700000000000006</v>
      </c>
      <c r="AB30" s="149">
        <v>2.69</v>
      </c>
      <c r="AC30" s="149">
        <v>324</v>
      </c>
      <c r="AD30" s="149">
        <v>47.3</v>
      </c>
      <c r="AE30" s="149">
        <v>367</v>
      </c>
      <c r="AF30" s="149">
        <v>73.900000000000006</v>
      </c>
      <c r="AG30" s="149">
        <v>0.88600000000000001</v>
      </c>
      <c r="AH30" s="149">
        <v>22.6</v>
      </c>
      <c r="AI30" s="149">
        <v>3.7999999999999999E-2</v>
      </c>
      <c r="AJ30" s="149">
        <v>13</v>
      </c>
      <c r="AK30" s="148">
        <v>39.1</v>
      </c>
    </row>
    <row r="31" spans="1:37">
      <c r="A31" s="150" t="s">
        <v>638</v>
      </c>
      <c r="B31" s="149">
        <v>242</v>
      </c>
      <c r="C31" s="149">
        <v>122</v>
      </c>
      <c r="D31" s="149">
        <v>7</v>
      </c>
      <c r="E31" s="149">
        <v>10.8</v>
      </c>
      <c r="F31" s="149">
        <v>15</v>
      </c>
      <c r="G31" s="149">
        <v>190.4</v>
      </c>
      <c r="H31" s="149">
        <v>4369</v>
      </c>
      <c r="I31" s="149">
        <v>329</v>
      </c>
      <c r="J31" s="149">
        <v>361</v>
      </c>
      <c r="K31" s="149">
        <v>53.9</v>
      </c>
      <c r="L31" s="149">
        <v>410</v>
      </c>
      <c r="M31" s="149">
        <v>84.4</v>
      </c>
      <c r="N31" s="148">
        <v>43.7</v>
      </c>
      <c r="O31" s="150" t="s">
        <v>638</v>
      </c>
      <c r="P31" s="149">
        <v>34.299999999999997</v>
      </c>
      <c r="Q31" s="149">
        <v>242</v>
      </c>
      <c r="R31" s="149">
        <v>122</v>
      </c>
      <c r="S31" s="149">
        <v>7</v>
      </c>
      <c r="T31" s="149">
        <v>10.8</v>
      </c>
      <c r="U31" s="149">
        <v>15</v>
      </c>
      <c r="V31" s="149">
        <v>190.4</v>
      </c>
      <c r="W31" s="149">
        <v>5.65</v>
      </c>
      <c r="X31" s="149">
        <v>27.2</v>
      </c>
      <c r="Y31" s="149">
        <v>4369</v>
      </c>
      <c r="Z31" s="149">
        <v>329</v>
      </c>
      <c r="AA31" s="149">
        <v>10</v>
      </c>
      <c r="AB31" s="149">
        <v>2.74</v>
      </c>
      <c r="AC31" s="149">
        <v>361</v>
      </c>
      <c r="AD31" s="149">
        <v>53.9</v>
      </c>
      <c r="AE31" s="149">
        <v>410</v>
      </c>
      <c r="AF31" s="149">
        <v>84.4</v>
      </c>
      <c r="AG31" s="149">
        <v>0.88400000000000001</v>
      </c>
      <c r="AH31" s="149">
        <v>20.9</v>
      </c>
      <c r="AI31" s="149">
        <v>4.3999999999999997E-2</v>
      </c>
      <c r="AJ31" s="149">
        <v>17.100000000000001</v>
      </c>
      <c r="AK31" s="148">
        <v>43.7</v>
      </c>
    </row>
    <row r="32" spans="1:37">
      <c r="A32" s="147" t="s">
        <v>637</v>
      </c>
      <c r="B32" s="146">
        <v>245</v>
      </c>
      <c r="C32" s="146">
        <v>118</v>
      </c>
      <c r="D32" s="146">
        <v>7.5</v>
      </c>
      <c r="E32" s="146">
        <v>12.3</v>
      </c>
      <c r="F32" s="146">
        <v>15</v>
      </c>
      <c r="G32" s="146">
        <v>190.4</v>
      </c>
      <c r="H32" s="146">
        <v>4823</v>
      </c>
      <c r="I32" s="146">
        <v>339</v>
      </c>
      <c r="J32" s="146">
        <v>394</v>
      </c>
      <c r="K32" s="146">
        <v>57.4</v>
      </c>
      <c r="L32" s="146">
        <v>449</v>
      </c>
      <c r="M32" s="146">
        <v>90.1</v>
      </c>
      <c r="N32" s="145">
        <v>47.5</v>
      </c>
      <c r="O32" s="147" t="s">
        <v>637</v>
      </c>
      <c r="P32" s="146">
        <v>37.299999999999997</v>
      </c>
      <c r="Q32" s="146">
        <v>245</v>
      </c>
      <c r="R32" s="146">
        <v>118</v>
      </c>
      <c r="S32" s="146">
        <v>7.5</v>
      </c>
      <c r="T32" s="146">
        <v>12.3</v>
      </c>
      <c r="U32" s="146">
        <v>15</v>
      </c>
      <c r="V32" s="146">
        <v>190.4</v>
      </c>
      <c r="W32" s="146">
        <v>4.8</v>
      </c>
      <c r="X32" s="146">
        <v>25.4</v>
      </c>
      <c r="Y32" s="146">
        <v>4823</v>
      </c>
      <c r="Z32" s="146">
        <v>339</v>
      </c>
      <c r="AA32" s="146">
        <v>10.1</v>
      </c>
      <c r="AB32" s="146">
        <v>2.67</v>
      </c>
      <c r="AC32" s="146">
        <v>394</v>
      </c>
      <c r="AD32" s="146">
        <v>57.4</v>
      </c>
      <c r="AE32" s="146">
        <v>449</v>
      </c>
      <c r="AF32" s="146">
        <v>90.1</v>
      </c>
      <c r="AG32" s="146">
        <v>0.88600000000000001</v>
      </c>
      <c r="AH32" s="146">
        <v>19</v>
      </c>
      <c r="AI32" s="146">
        <v>4.5999999999999999E-2</v>
      </c>
      <c r="AJ32" s="146">
        <v>22.8</v>
      </c>
      <c r="AK32" s="145">
        <v>47.5</v>
      </c>
    </row>
    <row r="33" spans="1:37">
      <c r="A33" s="150" t="s">
        <v>636</v>
      </c>
      <c r="B33" s="149">
        <v>267</v>
      </c>
      <c r="C33" s="149">
        <v>135</v>
      </c>
      <c r="D33" s="149">
        <v>5.5</v>
      </c>
      <c r="E33" s="149">
        <v>8.6999999999999993</v>
      </c>
      <c r="F33" s="149">
        <v>15</v>
      </c>
      <c r="G33" s="149">
        <v>219.6</v>
      </c>
      <c r="H33" s="149">
        <v>4917</v>
      </c>
      <c r="I33" s="149">
        <v>358</v>
      </c>
      <c r="J33" s="149">
        <v>368</v>
      </c>
      <c r="K33" s="149">
        <v>53</v>
      </c>
      <c r="L33" s="149">
        <v>412</v>
      </c>
      <c r="M33" s="149">
        <v>82.3</v>
      </c>
      <c r="N33" s="148">
        <v>39.1</v>
      </c>
      <c r="O33" s="150" t="s">
        <v>636</v>
      </c>
      <c r="P33" s="149">
        <v>30.7</v>
      </c>
      <c r="Q33" s="149">
        <v>267</v>
      </c>
      <c r="R33" s="149">
        <v>135</v>
      </c>
      <c r="S33" s="149">
        <v>5.5</v>
      </c>
      <c r="T33" s="149">
        <v>8.6999999999999993</v>
      </c>
      <c r="U33" s="149">
        <v>15</v>
      </c>
      <c r="V33" s="149">
        <v>219.6</v>
      </c>
      <c r="W33" s="149">
        <v>7.76</v>
      </c>
      <c r="X33" s="149">
        <v>39.9</v>
      </c>
      <c r="Y33" s="149">
        <v>4917</v>
      </c>
      <c r="Z33" s="149">
        <v>358</v>
      </c>
      <c r="AA33" s="149">
        <v>11.2</v>
      </c>
      <c r="AB33" s="149">
        <v>3.02</v>
      </c>
      <c r="AC33" s="149">
        <v>368</v>
      </c>
      <c r="AD33" s="149">
        <v>53</v>
      </c>
      <c r="AE33" s="149">
        <v>412</v>
      </c>
      <c r="AF33" s="149">
        <v>82.3</v>
      </c>
      <c r="AG33" s="149">
        <v>0.88600000000000001</v>
      </c>
      <c r="AH33" s="149">
        <v>28.3</v>
      </c>
      <c r="AI33" s="149">
        <v>0.06</v>
      </c>
      <c r="AJ33" s="149">
        <v>10.4</v>
      </c>
      <c r="AK33" s="148">
        <v>39.1</v>
      </c>
    </row>
    <row r="34" spans="1:37">
      <c r="A34" s="150" t="s">
        <v>635</v>
      </c>
      <c r="B34" s="149">
        <v>270</v>
      </c>
      <c r="C34" s="149">
        <v>135</v>
      </c>
      <c r="D34" s="149">
        <v>6.6</v>
      </c>
      <c r="E34" s="149">
        <v>10.199999999999999</v>
      </c>
      <c r="F34" s="149">
        <v>15</v>
      </c>
      <c r="G34" s="149">
        <v>219.6</v>
      </c>
      <c r="H34" s="149">
        <v>5790</v>
      </c>
      <c r="I34" s="149">
        <v>420</v>
      </c>
      <c r="J34" s="149">
        <v>429</v>
      </c>
      <c r="K34" s="149">
        <v>62.2</v>
      </c>
      <c r="L34" s="149">
        <v>484</v>
      </c>
      <c r="M34" s="149">
        <v>97</v>
      </c>
      <c r="N34" s="148">
        <v>45.9</v>
      </c>
      <c r="O34" s="150" t="s">
        <v>635</v>
      </c>
      <c r="P34" s="149">
        <v>36.1</v>
      </c>
      <c r="Q34" s="149">
        <v>270</v>
      </c>
      <c r="R34" s="149">
        <v>135</v>
      </c>
      <c r="S34" s="149">
        <v>6.6</v>
      </c>
      <c r="T34" s="149">
        <v>10.199999999999999</v>
      </c>
      <c r="U34" s="149">
        <v>15</v>
      </c>
      <c r="V34" s="149">
        <v>219.6</v>
      </c>
      <c r="W34" s="149">
        <v>6.62</v>
      </c>
      <c r="X34" s="149">
        <v>33.299999999999997</v>
      </c>
      <c r="Y34" s="149">
        <v>5790</v>
      </c>
      <c r="Z34" s="149">
        <v>420</v>
      </c>
      <c r="AA34" s="149">
        <v>11.2</v>
      </c>
      <c r="AB34" s="149">
        <v>3.02</v>
      </c>
      <c r="AC34" s="149">
        <v>429</v>
      </c>
      <c r="AD34" s="149">
        <v>62.2</v>
      </c>
      <c r="AE34" s="149">
        <v>484</v>
      </c>
      <c r="AF34" s="149">
        <v>97</v>
      </c>
      <c r="AG34" s="149">
        <v>0.88400000000000001</v>
      </c>
      <c r="AH34" s="149">
        <v>25</v>
      </c>
      <c r="AI34" s="149">
        <v>7.0999999999999994E-2</v>
      </c>
      <c r="AJ34" s="149">
        <v>15.9</v>
      </c>
      <c r="AK34" s="148">
        <v>45.9</v>
      </c>
    </row>
    <row r="35" spans="1:37">
      <c r="A35" s="150" t="s">
        <v>634</v>
      </c>
      <c r="B35" s="149">
        <v>274</v>
      </c>
      <c r="C35" s="149">
        <v>136</v>
      </c>
      <c r="D35" s="149">
        <v>7.5</v>
      </c>
      <c r="E35" s="149">
        <v>12.2</v>
      </c>
      <c r="F35" s="149">
        <v>15</v>
      </c>
      <c r="G35" s="149">
        <v>219.6</v>
      </c>
      <c r="H35" s="149">
        <v>6947</v>
      </c>
      <c r="I35" s="149">
        <v>513</v>
      </c>
      <c r="J35" s="149">
        <v>507</v>
      </c>
      <c r="K35" s="149">
        <v>75.5</v>
      </c>
      <c r="L35" s="149">
        <v>575</v>
      </c>
      <c r="M35" s="149">
        <v>118</v>
      </c>
      <c r="N35" s="148">
        <v>53.8</v>
      </c>
      <c r="O35" s="150" t="s">
        <v>634</v>
      </c>
      <c r="P35" s="149">
        <v>42.3</v>
      </c>
      <c r="Q35" s="149">
        <v>274</v>
      </c>
      <c r="R35" s="149">
        <v>136</v>
      </c>
      <c r="S35" s="149">
        <v>7.5</v>
      </c>
      <c r="T35" s="149">
        <v>12.2</v>
      </c>
      <c r="U35" s="149">
        <v>15</v>
      </c>
      <c r="V35" s="149">
        <v>219.6</v>
      </c>
      <c r="W35" s="149">
        <v>5.57</v>
      </c>
      <c r="X35" s="149">
        <v>29.3</v>
      </c>
      <c r="Y35" s="149">
        <v>6947</v>
      </c>
      <c r="Z35" s="149">
        <v>513</v>
      </c>
      <c r="AA35" s="149">
        <v>11.4</v>
      </c>
      <c r="AB35" s="149">
        <v>3.09</v>
      </c>
      <c r="AC35" s="149">
        <v>507</v>
      </c>
      <c r="AD35" s="149">
        <v>75.5</v>
      </c>
      <c r="AE35" s="149">
        <v>575</v>
      </c>
      <c r="AF35" s="149">
        <v>118</v>
      </c>
      <c r="AG35" s="149">
        <v>0.88600000000000001</v>
      </c>
      <c r="AH35" s="149">
        <v>21.7</v>
      </c>
      <c r="AI35" s="149">
        <v>8.7999999999999995E-2</v>
      </c>
      <c r="AJ35" s="149">
        <v>25</v>
      </c>
      <c r="AK35" s="148">
        <v>53.8</v>
      </c>
    </row>
    <row r="36" spans="1:37">
      <c r="A36" s="147" t="s">
        <v>633</v>
      </c>
      <c r="B36" s="146">
        <v>276</v>
      </c>
      <c r="C36" s="146">
        <v>133</v>
      </c>
      <c r="D36" s="146">
        <v>7.7</v>
      </c>
      <c r="E36" s="146">
        <v>13.1</v>
      </c>
      <c r="F36" s="146">
        <v>15</v>
      </c>
      <c r="G36" s="146">
        <v>219.8</v>
      </c>
      <c r="H36" s="146">
        <v>7312</v>
      </c>
      <c r="I36" s="146">
        <v>516</v>
      </c>
      <c r="J36" s="146">
        <v>530</v>
      </c>
      <c r="K36" s="146">
        <v>77.599999999999994</v>
      </c>
      <c r="L36" s="146">
        <v>602</v>
      </c>
      <c r="M36" s="146">
        <v>121</v>
      </c>
      <c r="N36" s="145">
        <v>56</v>
      </c>
      <c r="O36" s="147" t="s">
        <v>633</v>
      </c>
      <c r="P36" s="146">
        <v>44</v>
      </c>
      <c r="Q36" s="146">
        <v>276</v>
      </c>
      <c r="R36" s="146">
        <v>133</v>
      </c>
      <c r="S36" s="146">
        <v>7.7</v>
      </c>
      <c r="T36" s="146">
        <v>13.1</v>
      </c>
      <c r="U36" s="146">
        <v>15</v>
      </c>
      <c r="V36" s="146">
        <v>219.8</v>
      </c>
      <c r="W36" s="146">
        <v>5.08</v>
      </c>
      <c r="X36" s="146">
        <v>28.5</v>
      </c>
      <c r="Y36" s="146">
        <v>7312</v>
      </c>
      <c r="Z36" s="146">
        <v>516</v>
      </c>
      <c r="AA36" s="146">
        <v>11.4</v>
      </c>
      <c r="AB36" s="146">
        <v>3.03</v>
      </c>
      <c r="AC36" s="146">
        <v>530</v>
      </c>
      <c r="AD36" s="146">
        <v>77.599999999999994</v>
      </c>
      <c r="AE36" s="146">
        <v>602</v>
      </c>
      <c r="AF36" s="146">
        <v>121</v>
      </c>
      <c r="AG36" s="146">
        <v>0.88800000000000001</v>
      </c>
      <c r="AH36" s="146">
        <v>20.6</v>
      </c>
      <c r="AI36" s="146">
        <v>8.8999999999999996E-2</v>
      </c>
      <c r="AJ36" s="146">
        <v>29.1</v>
      </c>
      <c r="AK36" s="145">
        <v>56</v>
      </c>
    </row>
    <row r="37" spans="1:37">
      <c r="A37" s="150" t="s">
        <v>632</v>
      </c>
      <c r="B37" s="149">
        <v>297</v>
      </c>
      <c r="C37" s="149">
        <v>150</v>
      </c>
      <c r="D37" s="149">
        <v>6.1</v>
      </c>
      <c r="E37" s="149">
        <v>9.1999999999999993</v>
      </c>
      <c r="F37" s="149">
        <v>15</v>
      </c>
      <c r="G37" s="149">
        <v>248.6</v>
      </c>
      <c r="H37" s="149">
        <v>7173</v>
      </c>
      <c r="I37" s="149">
        <v>519</v>
      </c>
      <c r="J37" s="149">
        <v>483</v>
      </c>
      <c r="K37" s="149">
        <v>69.2</v>
      </c>
      <c r="L37" s="149">
        <v>542</v>
      </c>
      <c r="M37" s="149">
        <v>107</v>
      </c>
      <c r="N37" s="148">
        <v>46.5</v>
      </c>
      <c r="O37" s="150" t="s">
        <v>632</v>
      </c>
      <c r="P37" s="149">
        <v>36.5</v>
      </c>
      <c r="Q37" s="149">
        <v>297</v>
      </c>
      <c r="R37" s="149">
        <v>150</v>
      </c>
      <c r="S37" s="149">
        <v>6.1</v>
      </c>
      <c r="T37" s="149">
        <v>9.1999999999999993</v>
      </c>
      <c r="U37" s="149">
        <v>15</v>
      </c>
      <c r="V37" s="149">
        <v>248.6</v>
      </c>
      <c r="W37" s="149">
        <v>8.15</v>
      </c>
      <c r="X37" s="149">
        <v>40.799999999999997</v>
      </c>
      <c r="Y37" s="149">
        <v>7173</v>
      </c>
      <c r="Z37" s="149">
        <v>519</v>
      </c>
      <c r="AA37" s="149">
        <v>12.4</v>
      </c>
      <c r="AB37" s="149">
        <v>3.34</v>
      </c>
      <c r="AC37" s="149">
        <v>483</v>
      </c>
      <c r="AD37" s="149">
        <v>69.2</v>
      </c>
      <c r="AE37" s="149">
        <v>542</v>
      </c>
      <c r="AF37" s="149">
        <v>107</v>
      </c>
      <c r="AG37" s="149">
        <v>0.88300000000000001</v>
      </c>
      <c r="AH37" s="149">
        <v>30.4</v>
      </c>
      <c r="AI37" s="149">
        <v>0.107</v>
      </c>
      <c r="AJ37" s="149">
        <v>13.3</v>
      </c>
      <c r="AK37" s="148">
        <v>46.5</v>
      </c>
    </row>
    <row r="38" spans="1:37">
      <c r="A38" s="150" t="s">
        <v>631</v>
      </c>
      <c r="B38" s="149">
        <v>300</v>
      </c>
      <c r="C38" s="149">
        <v>150</v>
      </c>
      <c r="D38" s="149">
        <v>7.1</v>
      </c>
      <c r="E38" s="149">
        <v>10.7</v>
      </c>
      <c r="F38" s="149">
        <v>15</v>
      </c>
      <c r="G38" s="149">
        <v>248.6</v>
      </c>
      <c r="H38" s="149">
        <v>8356</v>
      </c>
      <c r="I38" s="149">
        <v>604</v>
      </c>
      <c r="J38" s="149">
        <v>557</v>
      </c>
      <c r="K38" s="149">
        <v>80.5</v>
      </c>
      <c r="L38" s="149">
        <v>628</v>
      </c>
      <c r="M38" s="149">
        <v>125</v>
      </c>
      <c r="N38" s="148">
        <v>53.8</v>
      </c>
      <c r="O38" s="150" t="s">
        <v>631</v>
      </c>
      <c r="P38" s="149">
        <v>42.2</v>
      </c>
      <c r="Q38" s="149">
        <v>300</v>
      </c>
      <c r="R38" s="149">
        <v>150</v>
      </c>
      <c r="S38" s="149">
        <v>7.1</v>
      </c>
      <c r="T38" s="149">
        <v>10.7</v>
      </c>
      <c r="U38" s="149">
        <v>15</v>
      </c>
      <c r="V38" s="149">
        <v>248.6</v>
      </c>
      <c r="W38" s="149">
        <v>7.01</v>
      </c>
      <c r="X38" s="149">
        <v>35</v>
      </c>
      <c r="Y38" s="149">
        <v>8356</v>
      </c>
      <c r="Z38" s="149">
        <v>604</v>
      </c>
      <c r="AA38" s="149">
        <v>12.5</v>
      </c>
      <c r="AB38" s="149">
        <v>3.35</v>
      </c>
      <c r="AC38" s="149">
        <v>557</v>
      </c>
      <c r="AD38" s="149">
        <v>80.5</v>
      </c>
      <c r="AE38" s="149">
        <v>628</v>
      </c>
      <c r="AF38" s="149">
        <v>125</v>
      </c>
      <c r="AG38" s="149">
        <v>0.88200000000000001</v>
      </c>
      <c r="AH38" s="149">
        <v>26.9</v>
      </c>
      <c r="AI38" s="149">
        <v>0.126</v>
      </c>
      <c r="AJ38" s="149">
        <v>19.899999999999999</v>
      </c>
      <c r="AK38" s="148">
        <v>53.8</v>
      </c>
    </row>
    <row r="39" spans="1:37">
      <c r="A39" s="150" t="s">
        <v>630</v>
      </c>
      <c r="B39" s="149">
        <v>304</v>
      </c>
      <c r="C39" s="149">
        <v>152</v>
      </c>
      <c r="D39" s="149">
        <v>8</v>
      </c>
      <c r="E39" s="149">
        <v>12.7</v>
      </c>
      <c r="F39" s="149">
        <v>15</v>
      </c>
      <c r="G39" s="149">
        <v>248.6</v>
      </c>
      <c r="H39" s="149">
        <v>9994</v>
      </c>
      <c r="I39" s="149">
        <v>746</v>
      </c>
      <c r="J39" s="149">
        <v>658</v>
      </c>
      <c r="K39" s="149">
        <v>98.1</v>
      </c>
      <c r="L39" s="149">
        <v>744</v>
      </c>
      <c r="M39" s="149">
        <v>153</v>
      </c>
      <c r="N39" s="148">
        <v>62.8</v>
      </c>
      <c r="O39" s="150" t="s">
        <v>630</v>
      </c>
      <c r="P39" s="149">
        <v>49.3</v>
      </c>
      <c r="Q39" s="149">
        <v>304</v>
      </c>
      <c r="R39" s="149">
        <v>152</v>
      </c>
      <c r="S39" s="149">
        <v>8</v>
      </c>
      <c r="T39" s="149">
        <v>12.7</v>
      </c>
      <c r="U39" s="149">
        <v>15</v>
      </c>
      <c r="V39" s="149">
        <v>248.6</v>
      </c>
      <c r="W39" s="149">
        <v>5.98</v>
      </c>
      <c r="X39" s="149">
        <v>31.1</v>
      </c>
      <c r="Y39" s="149">
        <v>9994</v>
      </c>
      <c r="Z39" s="149">
        <v>746</v>
      </c>
      <c r="AA39" s="149">
        <v>12.6</v>
      </c>
      <c r="AB39" s="149">
        <v>3.45</v>
      </c>
      <c r="AC39" s="149">
        <v>658</v>
      </c>
      <c r="AD39" s="149">
        <v>98.1</v>
      </c>
      <c r="AE39" s="149">
        <v>744</v>
      </c>
      <c r="AF39" s="149">
        <v>153</v>
      </c>
      <c r="AG39" s="149">
        <v>0.88400000000000001</v>
      </c>
      <c r="AH39" s="149">
        <v>23.5</v>
      </c>
      <c r="AI39" s="149">
        <v>0.158</v>
      </c>
      <c r="AJ39" s="149">
        <v>31</v>
      </c>
      <c r="AK39" s="148">
        <v>62.8</v>
      </c>
    </row>
    <row r="40" spans="1:37">
      <c r="A40" s="147" t="s">
        <v>629</v>
      </c>
      <c r="B40" s="146">
        <v>306</v>
      </c>
      <c r="C40" s="146">
        <v>147</v>
      </c>
      <c r="D40" s="146">
        <v>8.5</v>
      </c>
      <c r="E40" s="146">
        <v>13.7</v>
      </c>
      <c r="F40" s="146">
        <v>15</v>
      </c>
      <c r="G40" s="146">
        <v>248.6</v>
      </c>
      <c r="H40" s="146">
        <v>10500</v>
      </c>
      <c r="I40" s="146">
        <v>728</v>
      </c>
      <c r="J40" s="146">
        <v>686</v>
      </c>
      <c r="K40" s="146">
        <v>99</v>
      </c>
      <c r="L40" s="146">
        <v>780</v>
      </c>
      <c r="M40" s="146">
        <v>155</v>
      </c>
      <c r="N40" s="145">
        <v>65.900000000000006</v>
      </c>
      <c r="O40" s="147" t="s">
        <v>629</v>
      </c>
      <c r="P40" s="146">
        <v>51.7</v>
      </c>
      <c r="Q40" s="146">
        <v>306</v>
      </c>
      <c r="R40" s="146">
        <v>147</v>
      </c>
      <c r="S40" s="146">
        <v>8.5</v>
      </c>
      <c r="T40" s="146">
        <v>13.7</v>
      </c>
      <c r="U40" s="146">
        <v>15</v>
      </c>
      <c r="V40" s="146">
        <v>248.6</v>
      </c>
      <c r="W40" s="146">
        <v>5.36</v>
      </c>
      <c r="X40" s="146">
        <v>29.2</v>
      </c>
      <c r="Y40" s="146">
        <v>10500</v>
      </c>
      <c r="Z40" s="146">
        <v>728</v>
      </c>
      <c r="AA40" s="146">
        <v>12.6</v>
      </c>
      <c r="AB40" s="146">
        <v>3.32</v>
      </c>
      <c r="AC40" s="146">
        <v>686</v>
      </c>
      <c r="AD40" s="146">
        <v>99</v>
      </c>
      <c r="AE40" s="146">
        <v>780</v>
      </c>
      <c r="AF40" s="146">
        <v>155</v>
      </c>
      <c r="AG40" s="146">
        <v>0.88400000000000001</v>
      </c>
      <c r="AH40" s="146">
        <v>22.1</v>
      </c>
      <c r="AI40" s="146">
        <v>0.155</v>
      </c>
      <c r="AJ40" s="146">
        <v>37</v>
      </c>
      <c r="AK40" s="145">
        <v>65.900000000000006</v>
      </c>
    </row>
    <row r="41" spans="1:37">
      <c r="A41" s="150" t="s">
        <v>628</v>
      </c>
      <c r="B41" s="149">
        <v>327</v>
      </c>
      <c r="C41" s="149">
        <v>160</v>
      </c>
      <c r="D41" s="149">
        <v>6.5</v>
      </c>
      <c r="E41" s="149">
        <v>10</v>
      </c>
      <c r="F41" s="149">
        <v>18</v>
      </c>
      <c r="G41" s="149">
        <v>271</v>
      </c>
      <c r="H41" s="149">
        <v>10230</v>
      </c>
      <c r="I41" s="149">
        <v>685</v>
      </c>
      <c r="J41" s="149">
        <v>626</v>
      </c>
      <c r="K41" s="149">
        <v>85.6</v>
      </c>
      <c r="L41" s="149">
        <v>702</v>
      </c>
      <c r="M41" s="149">
        <v>133</v>
      </c>
      <c r="N41" s="148">
        <v>54.7</v>
      </c>
      <c r="O41" s="150" t="s">
        <v>628</v>
      </c>
      <c r="P41" s="149">
        <v>43</v>
      </c>
      <c r="Q41" s="149">
        <v>327</v>
      </c>
      <c r="R41" s="149">
        <v>160</v>
      </c>
      <c r="S41" s="149">
        <v>6.5</v>
      </c>
      <c r="T41" s="149">
        <v>10</v>
      </c>
      <c r="U41" s="149">
        <v>18</v>
      </c>
      <c r="V41" s="149">
        <v>271</v>
      </c>
      <c r="W41" s="149">
        <v>8</v>
      </c>
      <c r="X41" s="149">
        <v>41.7</v>
      </c>
      <c r="Y41" s="149">
        <v>10230</v>
      </c>
      <c r="Z41" s="149">
        <v>685</v>
      </c>
      <c r="AA41" s="149">
        <v>13.7</v>
      </c>
      <c r="AB41" s="149">
        <v>3.54</v>
      </c>
      <c r="AC41" s="149">
        <v>626</v>
      </c>
      <c r="AD41" s="149">
        <v>85.6</v>
      </c>
      <c r="AE41" s="149">
        <v>702</v>
      </c>
      <c r="AF41" s="149">
        <v>133</v>
      </c>
      <c r="AG41" s="149">
        <v>0.88400000000000001</v>
      </c>
      <c r="AH41" s="149">
        <v>30</v>
      </c>
      <c r="AI41" s="149">
        <v>0.17199999999999999</v>
      </c>
      <c r="AJ41" s="149">
        <v>19.600000000000001</v>
      </c>
      <c r="AK41" s="148">
        <v>54.7</v>
      </c>
    </row>
    <row r="42" spans="1:37">
      <c r="A42" s="150" t="s">
        <v>627</v>
      </c>
      <c r="B42" s="149">
        <v>330</v>
      </c>
      <c r="C42" s="149">
        <v>160</v>
      </c>
      <c r="D42" s="149">
        <v>7.5</v>
      </c>
      <c r="E42" s="149">
        <v>11.5</v>
      </c>
      <c r="F42" s="149">
        <v>18</v>
      </c>
      <c r="G42" s="149">
        <v>271</v>
      </c>
      <c r="H42" s="149">
        <v>11770</v>
      </c>
      <c r="I42" s="149">
        <v>788</v>
      </c>
      <c r="J42" s="149">
        <v>713</v>
      </c>
      <c r="K42" s="149">
        <v>98.5</v>
      </c>
      <c r="L42" s="149">
        <v>804</v>
      </c>
      <c r="M42" s="149">
        <v>154</v>
      </c>
      <c r="N42" s="148">
        <v>62.6</v>
      </c>
      <c r="O42" s="150" t="s">
        <v>627</v>
      </c>
      <c r="P42" s="149">
        <v>49.1</v>
      </c>
      <c r="Q42" s="149">
        <v>330</v>
      </c>
      <c r="R42" s="149">
        <v>160</v>
      </c>
      <c r="S42" s="149">
        <v>7.5</v>
      </c>
      <c r="T42" s="149">
        <v>11.5</v>
      </c>
      <c r="U42" s="149">
        <v>18</v>
      </c>
      <c r="V42" s="149">
        <v>271</v>
      </c>
      <c r="W42" s="149">
        <v>6.96</v>
      </c>
      <c r="X42" s="149">
        <v>36.1</v>
      </c>
      <c r="Y42" s="149">
        <v>11770</v>
      </c>
      <c r="Z42" s="149">
        <v>788</v>
      </c>
      <c r="AA42" s="149">
        <v>13.7</v>
      </c>
      <c r="AB42" s="149">
        <v>3.55</v>
      </c>
      <c r="AC42" s="149">
        <v>713</v>
      </c>
      <c r="AD42" s="149">
        <v>98.5</v>
      </c>
      <c r="AE42" s="149">
        <v>804</v>
      </c>
      <c r="AF42" s="149">
        <v>154</v>
      </c>
      <c r="AG42" s="149">
        <v>0.88300000000000001</v>
      </c>
      <c r="AH42" s="149">
        <v>26.9</v>
      </c>
      <c r="AI42" s="149">
        <v>0.2</v>
      </c>
      <c r="AJ42" s="149">
        <v>28.1</v>
      </c>
      <c r="AK42" s="148">
        <v>62.6</v>
      </c>
    </row>
    <row r="43" spans="1:37">
      <c r="A43" s="150" t="s">
        <v>626</v>
      </c>
      <c r="B43" s="149">
        <v>334</v>
      </c>
      <c r="C43" s="149">
        <v>162</v>
      </c>
      <c r="D43" s="149">
        <v>8.5</v>
      </c>
      <c r="E43" s="149">
        <v>13.5</v>
      </c>
      <c r="F43" s="149">
        <v>18</v>
      </c>
      <c r="G43" s="149">
        <v>271</v>
      </c>
      <c r="H43" s="149">
        <v>13910</v>
      </c>
      <c r="I43" s="149">
        <v>960</v>
      </c>
      <c r="J43" s="149">
        <v>833</v>
      </c>
      <c r="K43" s="149">
        <v>119</v>
      </c>
      <c r="L43" s="149">
        <v>943</v>
      </c>
      <c r="M43" s="149">
        <v>185</v>
      </c>
      <c r="N43" s="148">
        <v>72.599999999999994</v>
      </c>
      <c r="O43" s="150" t="s">
        <v>626</v>
      </c>
      <c r="P43" s="149">
        <v>57</v>
      </c>
      <c r="Q43" s="149">
        <v>334</v>
      </c>
      <c r="R43" s="149">
        <v>162</v>
      </c>
      <c r="S43" s="149">
        <v>8.5</v>
      </c>
      <c r="T43" s="149">
        <v>13.5</v>
      </c>
      <c r="U43" s="149">
        <v>18</v>
      </c>
      <c r="V43" s="149">
        <v>271</v>
      </c>
      <c r="W43" s="149">
        <v>6</v>
      </c>
      <c r="X43" s="149">
        <v>31.9</v>
      </c>
      <c r="Y43" s="149">
        <v>13910</v>
      </c>
      <c r="Z43" s="149">
        <v>960</v>
      </c>
      <c r="AA43" s="149">
        <v>13.8</v>
      </c>
      <c r="AB43" s="149">
        <v>3.64</v>
      </c>
      <c r="AC43" s="149">
        <v>833</v>
      </c>
      <c r="AD43" s="149">
        <v>119</v>
      </c>
      <c r="AE43" s="149">
        <v>943</v>
      </c>
      <c r="AF43" s="149">
        <v>185</v>
      </c>
      <c r="AG43" s="149">
        <v>0.88400000000000001</v>
      </c>
      <c r="AH43" s="149">
        <v>23.8</v>
      </c>
      <c r="AI43" s="149">
        <v>0.247</v>
      </c>
      <c r="AJ43" s="149">
        <v>42.2</v>
      </c>
      <c r="AK43" s="148">
        <v>72.599999999999994</v>
      </c>
    </row>
    <row r="44" spans="1:37">
      <c r="A44" s="147" t="s">
        <v>625</v>
      </c>
      <c r="B44" s="146">
        <v>336</v>
      </c>
      <c r="C44" s="146">
        <v>158</v>
      </c>
      <c r="D44" s="146">
        <v>9.1999999999999993</v>
      </c>
      <c r="E44" s="146">
        <v>14.5</v>
      </c>
      <c r="F44" s="146">
        <v>18</v>
      </c>
      <c r="G44" s="146">
        <v>271</v>
      </c>
      <c r="H44" s="146">
        <v>14690</v>
      </c>
      <c r="I44" s="146">
        <v>958</v>
      </c>
      <c r="J44" s="146">
        <v>874</v>
      </c>
      <c r="K44" s="146">
        <v>121</v>
      </c>
      <c r="L44" s="146">
        <v>995</v>
      </c>
      <c r="M44" s="146">
        <v>190</v>
      </c>
      <c r="N44" s="145">
        <v>76.8</v>
      </c>
      <c r="O44" s="147" t="s">
        <v>625</v>
      </c>
      <c r="P44" s="146">
        <v>60.3</v>
      </c>
      <c r="Q44" s="146">
        <v>336</v>
      </c>
      <c r="R44" s="146">
        <v>158</v>
      </c>
      <c r="S44" s="146">
        <v>9.1999999999999993</v>
      </c>
      <c r="T44" s="146">
        <v>14.5</v>
      </c>
      <c r="U44" s="146">
        <v>18</v>
      </c>
      <c r="V44" s="146">
        <v>271</v>
      </c>
      <c r="W44" s="146">
        <v>5.45</v>
      </c>
      <c r="X44" s="146">
        <v>29.5</v>
      </c>
      <c r="Y44" s="146">
        <v>14690</v>
      </c>
      <c r="Z44" s="146">
        <v>958</v>
      </c>
      <c r="AA44" s="146">
        <v>13.8</v>
      </c>
      <c r="AB44" s="146">
        <v>3.53</v>
      </c>
      <c r="AC44" s="146">
        <v>874</v>
      </c>
      <c r="AD44" s="146">
        <v>121</v>
      </c>
      <c r="AE44" s="146">
        <v>995</v>
      </c>
      <c r="AF44" s="146">
        <v>190</v>
      </c>
      <c r="AG44" s="146">
        <v>0.88200000000000001</v>
      </c>
      <c r="AH44" s="146">
        <v>22.4</v>
      </c>
      <c r="AI44" s="146">
        <v>0.247</v>
      </c>
      <c r="AJ44" s="146">
        <v>50.6</v>
      </c>
      <c r="AK44" s="145">
        <v>76.8</v>
      </c>
    </row>
    <row r="45" spans="1:37">
      <c r="A45" s="150" t="s">
        <v>624</v>
      </c>
      <c r="B45" s="149">
        <v>357.6</v>
      </c>
      <c r="C45" s="149">
        <v>170</v>
      </c>
      <c r="D45" s="149">
        <v>6.6</v>
      </c>
      <c r="E45" s="149">
        <v>11.5</v>
      </c>
      <c r="F45" s="149">
        <v>18</v>
      </c>
      <c r="G45" s="149">
        <v>298.60000000000002</v>
      </c>
      <c r="H45" s="149">
        <v>14520</v>
      </c>
      <c r="I45" s="149">
        <v>944</v>
      </c>
      <c r="J45" s="149">
        <v>812</v>
      </c>
      <c r="K45" s="149">
        <v>111</v>
      </c>
      <c r="L45" s="149">
        <v>907</v>
      </c>
      <c r="M45" s="149">
        <v>172</v>
      </c>
      <c r="N45" s="148">
        <v>64</v>
      </c>
      <c r="O45" s="150" t="s">
        <v>624</v>
      </c>
      <c r="P45" s="149">
        <v>50.2</v>
      </c>
      <c r="Q45" s="149">
        <v>357.6</v>
      </c>
      <c r="R45" s="149">
        <v>170</v>
      </c>
      <c r="S45" s="149">
        <v>6.6</v>
      </c>
      <c r="T45" s="149">
        <v>11.5</v>
      </c>
      <c r="U45" s="149">
        <v>18</v>
      </c>
      <c r="V45" s="149">
        <v>298.60000000000002</v>
      </c>
      <c r="W45" s="149">
        <v>7.39</v>
      </c>
      <c r="X45" s="149">
        <v>45.2</v>
      </c>
      <c r="Y45" s="149">
        <v>14520</v>
      </c>
      <c r="Z45" s="149">
        <v>944</v>
      </c>
      <c r="AA45" s="149">
        <v>15.1</v>
      </c>
      <c r="AB45" s="149">
        <v>3.84</v>
      </c>
      <c r="AC45" s="149">
        <v>812</v>
      </c>
      <c r="AD45" s="149">
        <v>111</v>
      </c>
      <c r="AE45" s="149">
        <v>907</v>
      </c>
      <c r="AF45" s="149">
        <v>172</v>
      </c>
      <c r="AG45" s="149">
        <v>0.89</v>
      </c>
      <c r="AH45" s="149">
        <v>29.9</v>
      </c>
      <c r="AI45" s="149">
        <v>0.28299999999999997</v>
      </c>
      <c r="AJ45" s="149">
        <v>27.4</v>
      </c>
      <c r="AK45" s="148">
        <v>64</v>
      </c>
    </row>
    <row r="46" spans="1:37">
      <c r="A46" s="150" t="s">
        <v>623</v>
      </c>
      <c r="B46" s="149">
        <v>360</v>
      </c>
      <c r="C46" s="149">
        <v>170</v>
      </c>
      <c r="D46" s="149">
        <v>8</v>
      </c>
      <c r="E46" s="149">
        <v>12.7</v>
      </c>
      <c r="F46" s="149">
        <v>18</v>
      </c>
      <c r="G46" s="149">
        <v>298.60000000000002</v>
      </c>
      <c r="H46" s="149">
        <v>16270</v>
      </c>
      <c r="I46" s="149">
        <v>1043</v>
      </c>
      <c r="J46" s="149">
        <v>904</v>
      </c>
      <c r="K46" s="149">
        <v>123</v>
      </c>
      <c r="L46" s="149">
        <v>1019</v>
      </c>
      <c r="M46" s="149">
        <v>191</v>
      </c>
      <c r="N46" s="148">
        <v>72.7</v>
      </c>
      <c r="O46" s="150" t="s">
        <v>623</v>
      </c>
      <c r="P46" s="149">
        <v>57.1</v>
      </c>
      <c r="Q46" s="149">
        <v>360</v>
      </c>
      <c r="R46" s="149">
        <v>170</v>
      </c>
      <c r="S46" s="149">
        <v>8</v>
      </c>
      <c r="T46" s="149">
        <v>12.7</v>
      </c>
      <c r="U46" s="149">
        <v>18</v>
      </c>
      <c r="V46" s="149">
        <v>298.60000000000002</v>
      </c>
      <c r="W46" s="149">
        <v>6.69</v>
      </c>
      <c r="X46" s="149">
        <v>37.299999999999997</v>
      </c>
      <c r="Y46" s="149">
        <v>16270</v>
      </c>
      <c r="Z46" s="149">
        <v>1043</v>
      </c>
      <c r="AA46" s="149">
        <v>15</v>
      </c>
      <c r="AB46" s="149">
        <v>3.79</v>
      </c>
      <c r="AC46" s="149">
        <v>904</v>
      </c>
      <c r="AD46" s="149">
        <v>123</v>
      </c>
      <c r="AE46" s="149">
        <v>1019</v>
      </c>
      <c r="AF46" s="149">
        <v>191</v>
      </c>
      <c r="AG46" s="149">
        <v>0.88400000000000001</v>
      </c>
      <c r="AH46" s="149">
        <v>27.4</v>
      </c>
      <c r="AI46" s="149">
        <v>0.315</v>
      </c>
      <c r="AJ46" s="149">
        <v>37.4</v>
      </c>
      <c r="AK46" s="148">
        <v>72.7</v>
      </c>
    </row>
    <row r="47" spans="1:37">
      <c r="A47" s="150" t="s">
        <v>622</v>
      </c>
      <c r="B47" s="149">
        <v>364</v>
      </c>
      <c r="C47" s="149">
        <v>172</v>
      </c>
      <c r="D47" s="149">
        <v>9.1999999999999993</v>
      </c>
      <c r="E47" s="149">
        <v>14.7</v>
      </c>
      <c r="F47" s="149">
        <v>18</v>
      </c>
      <c r="G47" s="149">
        <v>298.60000000000002</v>
      </c>
      <c r="H47" s="149">
        <v>19050</v>
      </c>
      <c r="I47" s="149">
        <v>1251</v>
      </c>
      <c r="J47" s="149">
        <v>1047</v>
      </c>
      <c r="K47" s="149">
        <v>145</v>
      </c>
      <c r="L47" s="149">
        <v>1186</v>
      </c>
      <c r="M47" s="149">
        <v>227</v>
      </c>
      <c r="N47" s="148">
        <v>84.1</v>
      </c>
      <c r="O47" s="150" t="s">
        <v>622</v>
      </c>
      <c r="P47" s="149">
        <v>66</v>
      </c>
      <c r="Q47" s="149">
        <v>364</v>
      </c>
      <c r="R47" s="149">
        <v>172</v>
      </c>
      <c r="S47" s="149">
        <v>9.1999999999999993</v>
      </c>
      <c r="T47" s="149">
        <v>14.7</v>
      </c>
      <c r="U47" s="149">
        <v>18</v>
      </c>
      <c r="V47" s="149">
        <v>298.60000000000002</v>
      </c>
      <c r="W47" s="149">
        <v>5.85</v>
      </c>
      <c r="X47" s="149">
        <v>32.5</v>
      </c>
      <c r="Y47" s="149">
        <v>19050</v>
      </c>
      <c r="Z47" s="149">
        <v>1251</v>
      </c>
      <c r="AA47" s="149">
        <v>15</v>
      </c>
      <c r="AB47" s="149">
        <v>3.86</v>
      </c>
      <c r="AC47" s="149">
        <v>1047</v>
      </c>
      <c r="AD47" s="149">
        <v>145</v>
      </c>
      <c r="AE47" s="149">
        <v>1186</v>
      </c>
      <c r="AF47" s="149">
        <v>227</v>
      </c>
      <c r="AG47" s="149">
        <v>0.88300000000000001</v>
      </c>
      <c r="AH47" s="149">
        <v>24.3</v>
      </c>
      <c r="AI47" s="149">
        <v>0.38200000000000001</v>
      </c>
      <c r="AJ47" s="149">
        <v>55.7</v>
      </c>
      <c r="AK47" s="148">
        <v>84.1</v>
      </c>
    </row>
    <row r="48" spans="1:37">
      <c r="A48" s="147" t="s">
        <v>621</v>
      </c>
      <c r="B48" s="146">
        <v>366</v>
      </c>
      <c r="C48" s="146">
        <v>168</v>
      </c>
      <c r="D48" s="146">
        <v>9.9</v>
      </c>
      <c r="E48" s="146">
        <v>16</v>
      </c>
      <c r="F48" s="146">
        <v>18</v>
      </c>
      <c r="G48" s="146">
        <v>298</v>
      </c>
      <c r="H48" s="146">
        <v>20290</v>
      </c>
      <c r="I48" s="146">
        <v>1270</v>
      </c>
      <c r="J48" s="146">
        <v>1109</v>
      </c>
      <c r="K48" s="146">
        <v>151</v>
      </c>
      <c r="L48" s="146">
        <v>1262</v>
      </c>
      <c r="M48" s="146">
        <v>236</v>
      </c>
      <c r="N48" s="145">
        <v>89.6</v>
      </c>
      <c r="O48" s="147" t="s">
        <v>621</v>
      </c>
      <c r="P48" s="146">
        <v>70.3</v>
      </c>
      <c r="Q48" s="146">
        <v>366</v>
      </c>
      <c r="R48" s="146">
        <v>168</v>
      </c>
      <c r="S48" s="146">
        <v>9.9</v>
      </c>
      <c r="T48" s="146">
        <v>16</v>
      </c>
      <c r="U48" s="146">
        <v>18</v>
      </c>
      <c r="V48" s="146">
        <v>298</v>
      </c>
      <c r="W48" s="146">
        <v>5.25</v>
      </c>
      <c r="X48" s="146">
        <v>30.1</v>
      </c>
      <c r="Y48" s="146">
        <v>20290</v>
      </c>
      <c r="Z48" s="146">
        <v>1270</v>
      </c>
      <c r="AA48" s="146">
        <v>15</v>
      </c>
      <c r="AB48" s="146">
        <v>3.76</v>
      </c>
      <c r="AC48" s="146">
        <v>1109</v>
      </c>
      <c r="AD48" s="146">
        <v>151</v>
      </c>
      <c r="AE48" s="146">
        <v>1262</v>
      </c>
      <c r="AF48" s="146">
        <v>236</v>
      </c>
      <c r="AG48" s="146">
        <v>0.88300000000000001</v>
      </c>
      <c r="AH48" s="146">
        <v>22.6</v>
      </c>
      <c r="AI48" s="146">
        <v>0.38900000000000001</v>
      </c>
      <c r="AJ48" s="146">
        <v>68.7</v>
      </c>
      <c r="AK48" s="145">
        <v>89.6</v>
      </c>
    </row>
    <row r="49" spans="1:37">
      <c r="A49" s="150" t="s">
        <v>620</v>
      </c>
      <c r="B49" s="149">
        <v>397</v>
      </c>
      <c r="C49" s="149">
        <v>180</v>
      </c>
      <c r="D49" s="149">
        <v>7</v>
      </c>
      <c r="E49" s="149">
        <v>12</v>
      </c>
      <c r="F49" s="149">
        <v>21</v>
      </c>
      <c r="G49" s="149">
        <v>331</v>
      </c>
      <c r="H49" s="149">
        <v>20290</v>
      </c>
      <c r="I49" s="149">
        <v>1171</v>
      </c>
      <c r="J49" s="149">
        <v>1022</v>
      </c>
      <c r="K49" s="149">
        <v>130</v>
      </c>
      <c r="L49" s="149">
        <v>1144</v>
      </c>
      <c r="M49" s="149">
        <v>202</v>
      </c>
      <c r="N49" s="148">
        <v>73.099999999999994</v>
      </c>
      <c r="O49" s="150" t="s">
        <v>620</v>
      </c>
      <c r="P49" s="149">
        <v>57.4</v>
      </c>
      <c r="Q49" s="149">
        <v>397</v>
      </c>
      <c r="R49" s="149">
        <v>180</v>
      </c>
      <c r="S49" s="149">
        <v>7</v>
      </c>
      <c r="T49" s="149">
        <v>12</v>
      </c>
      <c r="U49" s="149">
        <v>21</v>
      </c>
      <c r="V49" s="149">
        <v>331</v>
      </c>
      <c r="W49" s="149">
        <v>7.5</v>
      </c>
      <c r="X49" s="149">
        <v>47.3</v>
      </c>
      <c r="Y49" s="149">
        <v>20290</v>
      </c>
      <c r="Z49" s="149">
        <v>1171</v>
      </c>
      <c r="AA49" s="149">
        <v>16.7</v>
      </c>
      <c r="AB49" s="149">
        <v>4</v>
      </c>
      <c r="AC49" s="149">
        <v>1022</v>
      </c>
      <c r="AD49" s="149">
        <v>130</v>
      </c>
      <c r="AE49" s="149">
        <v>1144</v>
      </c>
      <c r="AF49" s="149">
        <v>202</v>
      </c>
      <c r="AG49" s="149">
        <v>0.88800000000000001</v>
      </c>
      <c r="AH49" s="149">
        <v>31</v>
      </c>
      <c r="AI49" s="149">
        <v>0.434</v>
      </c>
      <c r="AJ49" s="149">
        <v>36.200000000000003</v>
      </c>
      <c r="AK49" s="148">
        <v>73.099999999999994</v>
      </c>
    </row>
    <row r="50" spans="1:37">
      <c r="A50" s="150" t="s">
        <v>619</v>
      </c>
      <c r="B50" s="149">
        <v>400</v>
      </c>
      <c r="C50" s="149">
        <v>180</v>
      </c>
      <c r="D50" s="149">
        <v>8.6</v>
      </c>
      <c r="E50" s="149">
        <v>13.5</v>
      </c>
      <c r="F50" s="149">
        <v>21</v>
      </c>
      <c r="G50" s="149">
        <v>331</v>
      </c>
      <c r="H50" s="149">
        <v>23130</v>
      </c>
      <c r="I50" s="149">
        <v>1318</v>
      </c>
      <c r="J50" s="149">
        <v>1156</v>
      </c>
      <c r="K50" s="149">
        <v>146</v>
      </c>
      <c r="L50" s="149">
        <v>1307</v>
      </c>
      <c r="M50" s="149">
        <v>229</v>
      </c>
      <c r="N50" s="148">
        <v>84.5</v>
      </c>
      <c r="O50" s="150" t="s">
        <v>619</v>
      </c>
      <c r="P50" s="149">
        <v>66.3</v>
      </c>
      <c r="Q50" s="149">
        <v>400</v>
      </c>
      <c r="R50" s="149">
        <v>180</v>
      </c>
      <c r="S50" s="149">
        <v>8.6</v>
      </c>
      <c r="T50" s="149">
        <v>13.5</v>
      </c>
      <c r="U50" s="149">
        <v>21</v>
      </c>
      <c r="V50" s="149">
        <v>331</v>
      </c>
      <c r="W50" s="149">
        <v>6.67</v>
      </c>
      <c r="X50" s="149">
        <v>38.5</v>
      </c>
      <c r="Y50" s="149">
        <v>23130</v>
      </c>
      <c r="Z50" s="149">
        <v>1318</v>
      </c>
      <c r="AA50" s="149">
        <v>16.5</v>
      </c>
      <c r="AB50" s="149">
        <v>3.95</v>
      </c>
      <c r="AC50" s="149">
        <v>1156</v>
      </c>
      <c r="AD50" s="149">
        <v>146</v>
      </c>
      <c r="AE50" s="149">
        <v>1307</v>
      </c>
      <c r="AF50" s="149">
        <v>229</v>
      </c>
      <c r="AG50" s="149">
        <v>0.88200000000000001</v>
      </c>
      <c r="AH50" s="149">
        <v>28.1</v>
      </c>
      <c r="AI50" s="149">
        <v>0.49199999999999999</v>
      </c>
      <c r="AJ50" s="149">
        <v>51.3</v>
      </c>
      <c r="AK50" s="148">
        <v>84.5</v>
      </c>
    </row>
    <row r="51" spans="1:37">
      <c r="A51" s="150" t="s">
        <v>618</v>
      </c>
      <c r="B51" s="149">
        <v>404</v>
      </c>
      <c r="C51" s="149">
        <v>182</v>
      </c>
      <c r="D51" s="149">
        <v>9.6999999999999993</v>
      </c>
      <c r="E51" s="149">
        <v>15.5</v>
      </c>
      <c r="F51" s="149">
        <v>21</v>
      </c>
      <c r="G51" s="149">
        <v>331</v>
      </c>
      <c r="H51" s="149">
        <v>26750</v>
      </c>
      <c r="I51" s="149">
        <v>1564</v>
      </c>
      <c r="J51" s="149">
        <v>1324</v>
      </c>
      <c r="K51" s="149">
        <v>172</v>
      </c>
      <c r="L51" s="149">
        <v>1502</v>
      </c>
      <c r="M51" s="149">
        <v>269</v>
      </c>
      <c r="N51" s="148">
        <v>96.4</v>
      </c>
      <c r="O51" s="150" t="s">
        <v>618</v>
      </c>
      <c r="P51" s="149">
        <v>75.7</v>
      </c>
      <c r="Q51" s="149">
        <v>404</v>
      </c>
      <c r="R51" s="149">
        <v>182</v>
      </c>
      <c r="S51" s="149">
        <v>9.6999999999999993</v>
      </c>
      <c r="T51" s="149">
        <v>15.5</v>
      </c>
      <c r="U51" s="149">
        <v>21</v>
      </c>
      <c r="V51" s="149">
        <v>331</v>
      </c>
      <c r="W51" s="149">
        <v>5.87</v>
      </c>
      <c r="X51" s="149">
        <v>34.1</v>
      </c>
      <c r="Y51" s="149">
        <v>26750</v>
      </c>
      <c r="Z51" s="149">
        <v>1564</v>
      </c>
      <c r="AA51" s="149">
        <v>16.7</v>
      </c>
      <c r="AB51" s="149">
        <v>4.03</v>
      </c>
      <c r="AC51" s="149">
        <v>1324</v>
      </c>
      <c r="AD51" s="149">
        <v>172</v>
      </c>
      <c r="AE51" s="149">
        <v>1502</v>
      </c>
      <c r="AF51" s="149">
        <v>269</v>
      </c>
      <c r="AG51" s="149">
        <v>0.88200000000000001</v>
      </c>
      <c r="AH51" s="149">
        <v>25.2</v>
      </c>
      <c r="AI51" s="149">
        <v>0.59</v>
      </c>
      <c r="AJ51" s="149">
        <v>73.3</v>
      </c>
      <c r="AK51" s="148">
        <v>96.4</v>
      </c>
    </row>
    <row r="52" spans="1:37">
      <c r="A52" s="150" t="s">
        <v>617</v>
      </c>
      <c r="B52" s="149">
        <v>407</v>
      </c>
      <c r="C52" s="149">
        <v>178</v>
      </c>
      <c r="D52" s="149">
        <v>10.6</v>
      </c>
      <c r="E52" s="149">
        <v>17</v>
      </c>
      <c r="F52" s="149">
        <v>21</v>
      </c>
      <c r="G52" s="149">
        <v>331</v>
      </c>
      <c r="H52" s="149">
        <v>28860</v>
      </c>
      <c r="I52" s="149">
        <v>1606</v>
      </c>
      <c r="J52" s="149">
        <v>1418</v>
      </c>
      <c r="K52" s="149">
        <v>180</v>
      </c>
      <c r="L52" s="149">
        <v>1618</v>
      </c>
      <c r="M52" s="149">
        <v>284</v>
      </c>
      <c r="N52" s="148">
        <v>104</v>
      </c>
      <c r="O52" s="150" t="s">
        <v>617</v>
      </c>
      <c r="P52" s="149">
        <v>81.5</v>
      </c>
      <c r="Q52" s="149">
        <v>407</v>
      </c>
      <c r="R52" s="149">
        <v>178</v>
      </c>
      <c r="S52" s="149">
        <v>10.6</v>
      </c>
      <c r="T52" s="149">
        <v>17</v>
      </c>
      <c r="U52" s="149">
        <v>21</v>
      </c>
      <c r="V52" s="149">
        <v>331</v>
      </c>
      <c r="W52" s="149">
        <v>5.24</v>
      </c>
      <c r="X52" s="149">
        <v>31.2</v>
      </c>
      <c r="Y52" s="149">
        <v>28860</v>
      </c>
      <c r="Z52" s="149">
        <v>1606</v>
      </c>
      <c r="AA52" s="149">
        <v>16.7</v>
      </c>
      <c r="AB52" s="149">
        <v>3.93</v>
      </c>
      <c r="AC52" s="149">
        <v>1418</v>
      </c>
      <c r="AD52" s="149">
        <v>180</v>
      </c>
      <c r="AE52" s="149">
        <v>1618</v>
      </c>
      <c r="AF52" s="149">
        <v>284</v>
      </c>
      <c r="AG52" s="149">
        <v>0.88100000000000001</v>
      </c>
      <c r="AH52" s="149">
        <v>23.4</v>
      </c>
      <c r="AI52" s="149">
        <v>0.61099999999999999</v>
      </c>
      <c r="AJ52" s="149">
        <v>92.5</v>
      </c>
      <c r="AK52" s="148">
        <v>104</v>
      </c>
    </row>
    <row r="53" spans="1:37">
      <c r="A53" s="147" t="s">
        <v>616</v>
      </c>
      <c r="B53" s="146">
        <v>408</v>
      </c>
      <c r="C53" s="146">
        <v>182</v>
      </c>
      <c r="D53" s="146">
        <v>10.6</v>
      </c>
      <c r="E53" s="146">
        <v>17.5</v>
      </c>
      <c r="F53" s="146">
        <v>21</v>
      </c>
      <c r="G53" s="146">
        <v>331</v>
      </c>
      <c r="H53" s="146">
        <v>30140</v>
      </c>
      <c r="I53" s="146">
        <v>1766</v>
      </c>
      <c r="J53" s="146">
        <v>1477</v>
      </c>
      <c r="K53" s="146">
        <v>194</v>
      </c>
      <c r="L53" s="146">
        <v>1681</v>
      </c>
      <c r="M53" s="146">
        <v>304</v>
      </c>
      <c r="N53" s="145">
        <v>107</v>
      </c>
      <c r="O53" s="147" t="s">
        <v>616</v>
      </c>
      <c r="P53" s="146">
        <v>84</v>
      </c>
      <c r="Q53" s="146">
        <v>408</v>
      </c>
      <c r="R53" s="146">
        <v>182</v>
      </c>
      <c r="S53" s="146">
        <v>10.6</v>
      </c>
      <c r="T53" s="146">
        <v>17.5</v>
      </c>
      <c r="U53" s="146">
        <v>21</v>
      </c>
      <c r="V53" s="146">
        <v>331</v>
      </c>
      <c r="W53" s="146">
        <v>5.2</v>
      </c>
      <c r="X53" s="146">
        <v>31.2</v>
      </c>
      <c r="Y53" s="146">
        <v>30140</v>
      </c>
      <c r="Z53" s="146">
        <v>1766</v>
      </c>
      <c r="AA53" s="146">
        <v>16.8</v>
      </c>
      <c r="AB53" s="146">
        <v>4.0599999999999996</v>
      </c>
      <c r="AC53" s="146">
        <v>1477</v>
      </c>
      <c r="AD53" s="146">
        <v>194</v>
      </c>
      <c r="AE53" s="146">
        <v>1681</v>
      </c>
      <c r="AF53" s="146">
        <v>304</v>
      </c>
      <c r="AG53" s="146">
        <v>0.88400000000000001</v>
      </c>
      <c r="AH53" s="146">
        <v>22.9</v>
      </c>
      <c r="AI53" s="146">
        <v>0.67300000000000004</v>
      </c>
      <c r="AJ53" s="146">
        <v>99.6</v>
      </c>
      <c r="AK53" s="145">
        <v>107</v>
      </c>
    </row>
    <row r="54" spans="1:37">
      <c r="A54" s="150" t="s">
        <v>615</v>
      </c>
      <c r="B54" s="149">
        <v>447</v>
      </c>
      <c r="C54" s="149">
        <v>190</v>
      </c>
      <c r="D54" s="149">
        <v>7.6</v>
      </c>
      <c r="E54" s="149">
        <v>13.1</v>
      </c>
      <c r="F54" s="149">
        <v>21</v>
      </c>
      <c r="G54" s="149">
        <v>378.8</v>
      </c>
      <c r="H54" s="149">
        <v>29760</v>
      </c>
      <c r="I54" s="149">
        <v>1502</v>
      </c>
      <c r="J54" s="149">
        <v>1331</v>
      </c>
      <c r="K54" s="149">
        <v>158</v>
      </c>
      <c r="L54" s="149">
        <v>1494</v>
      </c>
      <c r="M54" s="149">
        <v>246</v>
      </c>
      <c r="N54" s="148">
        <v>85.5</v>
      </c>
      <c r="O54" s="150" t="s">
        <v>615</v>
      </c>
      <c r="P54" s="149">
        <v>67.2</v>
      </c>
      <c r="Q54" s="149">
        <v>447</v>
      </c>
      <c r="R54" s="149">
        <v>190</v>
      </c>
      <c r="S54" s="149">
        <v>7.6</v>
      </c>
      <c r="T54" s="149">
        <v>13.1</v>
      </c>
      <c r="U54" s="149">
        <v>21</v>
      </c>
      <c r="V54" s="149">
        <v>378.8</v>
      </c>
      <c r="W54" s="149">
        <v>7.25</v>
      </c>
      <c r="X54" s="149">
        <v>49.8</v>
      </c>
      <c r="Y54" s="149">
        <v>29760</v>
      </c>
      <c r="Z54" s="149">
        <v>1502</v>
      </c>
      <c r="AA54" s="149">
        <v>18.7</v>
      </c>
      <c r="AB54" s="149">
        <v>4.1900000000000004</v>
      </c>
      <c r="AC54" s="149">
        <v>1331</v>
      </c>
      <c r="AD54" s="149">
        <v>158</v>
      </c>
      <c r="AE54" s="149">
        <v>1494</v>
      </c>
      <c r="AF54" s="149">
        <v>246</v>
      </c>
      <c r="AG54" s="149">
        <v>0.88600000000000001</v>
      </c>
      <c r="AH54" s="149">
        <v>33.1</v>
      </c>
      <c r="AI54" s="149">
        <v>0.70699999999999996</v>
      </c>
      <c r="AJ54" s="149">
        <v>47.1</v>
      </c>
      <c r="AK54" s="148">
        <v>85.5</v>
      </c>
    </row>
    <row r="55" spans="1:37">
      <c r="A55" s="150" t="s">
        <v>614</v>
      </c>
      <c r="B55" s="149">
        <v>450</v>
      </c>
      <c r="C55" s="149">
        <v>190</v>
      </c>
      <c r="D55" s="149">
        <v>9.4</v>
      </c>
      <c r="E55" s="149">
        <v>14.6</v>
      </c>
      <c r="F55" s="149">
        <v>21</v>
      </c>
      <c r="G55" s="149">
        <v>378.8</v>
      </c>
      <c r="H55" s="149">
        <v>33740</v>
      </c>
      <c r="I55" s="149">
        <v>1676</v>
      </c>
      <c r="J55" s="149">
        <v>1500</v>
      </c>
      <c r="K55" s="149">
        <v>176</v>
      </c>
      <c r="L55" s="149">
        <v>1702</v>
      </c>
      <c r="M55" s="149">
        <v>276</v>
      </c>
      <c r="N55" s="148">
        <v>98.8</v>
      </c>
      <c r="O55" s="150" t="s">
        <v>614</v>
      </c>
      <c r="P55" s="149">
        <v>77.599999999999994</v>
      </c>
      <c r="Q55" s="149">
        <v>450</v>
      </c>
      <c r="R55" s="149">
        <v>190</v>
      </c>
      <c r="S55" s="149">
        <v>9.4</v>
      </c>
      <c r="T55" s="149">
        <v>14.6</v>
      </c>
      <c r="U55" s="149">
        <v>21</v>
      </c>
      <c r="V55" s="149">
        <v>378.8</v>
      </c>
      <c r="W55" s="149">
        <v>6.51</v>
      </c>
      <c r="X55" s="149">
        <v>40.299999999999997</v>
      </c>
      <c r="Y55" s="149">
        <v>33740</v>
      </c>
      <c r="Z55" s="149">
        <v>1676</v>
      </c>
      <c r="AA55" s="149">
        <v>18.5</v>
      </c>
      <c r="AB55" s="149">
        <v>4.12</v>
      </c>
      <c r="AC55" s="149">
        <v>1500</v>
      </c>
      <c r="AD55" s="149">
        <v>176</v>
      </c>
      <c r="AE55" s="149">
        <v>1702</v>
      </c>
      <c r="AF55" s="149">
        <v>276</v>
      </c>
      <c r="AG55" s="149">
        <v>0.878</v>
      </c>
      <c r="AH55" s="149">
        <v>30</v>
      </c>
      <c r="AI55" s="149">
        <v>0.79400000000000004</v>
      </c>
      <c r="AJ55" s="149">
        <v>66.7</v>
      </c>
      <c r="AK55" s="148">
        <v>98.8</v>
      </c>
    </row>
    <row r="56" spans="1:37">
      <c r="A56" s="150" t="s">
        <v>613</v>
      </c>
      <c r="B56" s="149">
        <v>456</v>
      </c>
      <c r="C56" s="149">
        <v>192</v>
      </c>
      <c r="D56" s="149">
        <v>11</v>
      </c>
      <c r="E56" s="149">
        <v>17.600000000000001</v>
      </c>
      <c r="F56" s="149">
        <v>21</v>
      </c>
      <c r="G56" s="149">
        <v>378.8</v>
      </c>
      <c r="H56" s="149">
        <v>40920</v>
      </c>
      <c r="I56" s="149">
        <v>2085</v>
      </c>
      <c r="J56" s="149">
        <v>1795</v>
      </c>
      <c r="K56" s="149">
        <v>217</v>
      </c>
      <c r="L56" s="149">
        <v>2046</v>
      </c>
      <c r="M56" s="149">
        <v>341</v>
      </c>
      <c r="N56" s="148">
        <v>118</v>
      </c>
      <c r="O56" s="150" t="s">
        <v>613</v>
      </c>
      <c r="P56" s="149">
        <v>92.4</v>
      </c>
      <c r="Q56" s="149">
        <v>456</v>
      </c>
      <c r="R56" s="149">
        <v>192</v>
      </c>
      <c r="S56" s="149">
        <v>11</v>
      </c>
      <c r="T56" s="149">
        <v>17.600000000000001</v>
      </c>
      <c r="U56" s="149">
        <v>21</v>
      </c>
      <c r="V56" s="149">
        <v>378.8</v>
      </c>
      <c r="W56" s="149">
        <v>5.45</v>
      </c>
      <c r="X56" s="149">
        <v>34.4</v>
      </c>
      <c r="Y56" s="149">
        <v>40920</v>
      </c>
      <c r="Z56" s="149">
        <v>2085</v>
      </c>
      <c r="AA56" s="149">
        <v>18.600000000000001</v>
      </c>
      <c r="AB56" s="149">
        <v>4.21</v>
      </c>
      <c r="AC56" s="149">
        <v>1795</v>
      </c>
      <c r="AD56" s="149">
        <v>217</v>
      </c>
      <c r="AE56" s="149">
        <v>2046</v>
      </c>
      <c r="AF56" s="149">
        <v>341</v>
      </c>
      <c r="AG56" s="149">
        <v>0.879</v>
      </c>
      <c r="AH56" s="149">
        <v>25.8</v>
      </c>
      <c r="AI56" s="149">
        <v>1</v>
      </c>
      <c r="AJ56" s="149">
        <v>109</v>
      </c>
      <c r="AK56" s="148">
        <v>118</v>
      </c>
    </row>
    <row r="57" spans="1:37">
      <c r="A57" s="150" t="s">
        <v>612</v>
      </c>
      <c r="B57" s="149">
        <v>458</v>
      </c>
      <c r="C57" s="149">
        <v>188</v>
      </c>
      <c r="D57" s="149">
        <v>11.3</v>
      </c>
      <c r="E57" s="149">
        <v>18.600000000000001</v>
      </c>
      <c r="F57" s="149">
        <v>21</v>
      </c>
      <c r="G57" s="149">
        <v>378.8</v>
      </c>
      <c r="H57" s="149">
        <v>42400</v>
      </c>
      <c r="I57" s="149">
        <v>2070</v>
      </c>
      <c r="J57" s="149">
        <v>1851</v>
      </c>
      <c r="K57" s="149">
        <v>220</v>
      </c>
      <c r="L57" s="149">
        <v>2115</v>
      </c>
      <c r="M57" s="149">
        <v>346</v>
      </c>
      <c r="N57" s="148">
        <v>121</v>
      </c>
      <c r="O57" s="150" t="s">
        <v>612</v>
      </c>
      <c r="P57" s="149">
        <v>95.2</v>
      </c>
      <c r="Q57" s="149">
        <v>458</v>
      </c>
      <c r="R57" s="149">
        <v>188</v>
      </c>
      <c r="S57" s="149">
        <v>11.3</v>
      </c>
      <c r="T57" s="149">
        <v>18.600000000000001</v>
      </c>
      <c r="U57" s="149">
        <v>21</v>
      </c>
      <c r="V57" s="149">
        <v>378.8</v>
      </c>
      <c r="W57" s="149">
        <v>5.05</v>
      </c>
      <c r="X57" s="149">
        <v>33.5</v>
      </c>
      <c r="Y57" s="149">
        <v>42400</v>
      </c>
      <c r="Z57" s="149">
        <v>2070</v>
      </c>
      <c r="AA57" s="149">
        <v>18.7</v>
      </c>
      <c r="AB57" s="149">
        <v>4.13</v>
      </c>
      <c r="AC57" s="149">
        <v>1851</v>
      </c>
      <c r="AD57" s="149">
        <v>220</v>
      </c>
      <c r="AE57" s="149">
        <v>2115</v>
      </c>
      <c r="AF57" s="149">
        <v>346</v>
      </c>
      <c r="AG57" s="149">
        <v>0.88</v>
      </c>
      <c r="AH57" s="149">
        <v>24.7</v>
      </c>
      <c r="AI57" s="149">
        <v>0.999</v>
      </c>
      <c r="AJ57" s="149">
        <v>123</v>
      </c>
      <c r="AK57" s="148">
        <v>121</v>
      </c>
    </row>
    <row r="58" spans="1:37">
      <c r="A58" s="147" t="s">
        <v>611</v>
      </c>
      <c r="B58" s="146">
        <v>460</v>
      </c>
      <c r="C58" s="146">
        <v>194</v>
      </c>
      <c r="D58" s="146">
        <v>12.4</v>
      </c>
      <c r="E58" s="146">
        <v>19.600000000000001</v>
      </c>
      <c r="F58" s="146">
        <v>21</v>
      </c>
      <c r="G58" s="146">
        <v>378.8</v>
      </c>
      <c r="H58" s="146">
        <v>46200</v>
      </c>
      <c r="I58" s="146">
        <v>2397</v>
      </c>
      <c r="J58" s="146">
        <v>2009</v>
      </c>
      <c r="K58" s="146">
        <v>247</v>
      </c>
      <c r="L58" s="146">
        <v>2301</v>
      </c>
      <c r="M58" s="146">
        <v>389</v>
      </c>
      <c r="N58" s="145">
        <v>132</v>
      </c>
      <c r="O58" s="147" t="s">
        <v>611</v>
      </c>
      <c r="P58" s="146">
        <v>103.6</v>
      </c>
      <c r="Q58" s="146">
        <v>460</v>
      </c>
      <c r="R58" s="146">
        <v>194</v>
      </c>
      <c r="S58" s="146">
        <v>12.4</v>
      </c>
      <c r="T58" s="146">
        <v>19.600000000000001</v>
      </c>
      <c r="U58" s="146">
        <v>21</v>
      </c>
      <c r="V58" s="146">
        <v>378.8</v>
      </c>
      <c r="W58" s="146">
        <v>4.95</v>
      </c>
      <c r="X58" s="146">
        <v>30.5</v>
      </c>
      <c r="Y58" s="146">
        <v>46200</v>
      </c>
      <c r="Z58" s="146">
        <v>2397</v>
      </c>
      <c r="AA58" s="146">
        <v>18.7</v>
      </c>
      <c r="AB58" s="146">
        <v>4.26</v>
      </c>
      <c r="AC58" s="146">
        <v>2009</v>
      </c>
      <c r="AD58" s="146">
        <v>247</v>
      </c>
      <c r="AE58" s="146">
        <v>2301</v>
      </c>
      <c r="AF58" s="146">
        <v>389</v>
      </c>
      <c r="AG58" s="146">
        <v>0.878</v>
      </c>
      <c r="AH58" s="146">
        <v>23.5</v>
      </c>
      <c r="AI58" s="146">
        <v>1.1599999999999999</v>
      </c>
      <c r="AJ58" s="146">
        <v>149</v>
      </c>
      <c r="AK58" s="145">
        <v>132</v>
      </c>
    </row>
    <row r="59" spans="1:37">
      <c r="A59" s="150" t="s">
        <v>610</v>
      </c>
      <c r="B59" s="149">
        <v>497</v>
      </c>
      <c r="C59" s="149">
        <v>200</v>
      </c>
      <c r="D59" s="149">
        <v>8.4</v>
      </c>
      <c r="E59" s="149">
        <v>14.5</v>
      </c>
      <c r="F59" s="149">
        <v>21</v>
      </c>
      <c r="G59" s="149">
        <v>426</v>
      </c>
      <c r="H59" s="149">
        <v>42930</v>
      </c>
      <c r="I59" s="149">
        <v>1939</v>
      </c>
      <c r="J59" s="149">
        <v>1728</v>
      </c>
      <c r="K59" s="149">
        <v>194</v>
      </c>
      <c r="L59" s="149">
        <v>1946</v>
      </c>
      <c r="M59" s="149">
        <v>302</v>
      </c>
      <c r="N59" s="148">
        <v>101</v>
      </c>
      <c r="O59" s="150" t="s">
        <v>610</v>
      </c>
      <c r="P59" s="149">
        <v>79.400000000000006</v>
      </c>
      <c r="Q59" s="149">
        <v>497</v>
      </c>
      <c r="R59" s="149">
        <v>200</v>
      </c>
      <c r="S59" s="149">
        <v>8.4</v>
      </c>
      <c r="T59" s="149">
        <v>14.5</v>
      </c>
      <c r="U59" s="149">
        <v>21</v>
      </c>
      <c r="V59" s="149">
        <v>426</v>
      </c>
      <c r="W59" s="149">
        <v>6.9</v>
      </c>
      <c r="X59" s="149">
        <v>50.7</v>
      </c>
      <c r="Y59" s="149">
        <v>42930</v>
      </c>
      <c r="Z59" s="149">
        <v>1939</v>
      </c>
      <c r="AA59" s="149">
        <v>20.6</v>
      </c>
      <c r="AB59" s="149">
        <v>4.38</v>
      </c>
      <c r="AC59" s="149">
        <v>1728</v>
      </c>
      <c r="AD59" s="149">
        <v>194</v>
      </c>
      <c r="AE59" s="149">
        <v>1946</v>
      </c>
      <c r="AF59" s="149">
        <v>302</v>
      </c>
      <c r="AG59" s="149">
        <v>0.88300000000000001</v>
      </c>
      <c r="AH59" s="149">
        <v>34.200000000000003</v>
      </c>
      <c r="AI59" s="149">
        <v>1.1299999999999999</v>
      </c>
      <c r="AJ59" s="149">
        <v>64.3</v>
      </c>
      <c r="AK59" s="148">
        <v>101</v>
      </c>
    </row>
    <row r="60" spans="1:37">
      <c r="A60" s="150" t="s">
        <v>609</v>
      </c>
      <c r="B60" s="149">
        <v>500</v>
      </c>
      <c r="C60" s="149">
        <v>200</v>
      </c>
      <c r="D60" s="149">
        <v>10.199999999999999</v>
      </c>
      <c r="E60" s="149">
        <v>16</v>
      </c>
      <c r="F60" s="149">
        <v>21</v>
      </c>
      <c r="G60" s="149">
        <v>426</v>
      </c>
      <c r="H60" s="149">
        <v>48200</v>
      </c>
      <c r="I60" s="149">
        <v>2142</v>
      </c>
      <c r="J60" s="149">
        <v>1928</v>
      </c>
      <c r="K60" s="149">
        <v>214</v>
      </c>
      <c r="L60" s="149">
        <v>2194</v>
      </c>
      <c r="M60" s="149">
        <v>336</v>
      </c>
      <c r="N60" s="148">
        <v>116</v>
      </c>
      <c r="O60" s="150" t="s">
        <v>609</v>
      </c>
      <c r="P60" s="149">
        <v>90.7</v>
      </c>
      <c r="Q60" s="149">
        <v>500</v>
      </c>
      <c r="R60" s="149">
        <v>200</v>
      </c>
      <c r="S60" s="149">
        <v>10.199999999999999</v>
      </c>
      <c r="T60" s="149">
        <v>16</v>
      </c>
      <c r="U60" s="149">
        <v>21</v>
      </c>
      <c r="V60" s="149">
        <v>426</v>
      </c>
      <c r="W60" s="149">
        <v>6.25</v>
      </c>
      <c r="X60" s="149">
        <v>41.8</v>
      </c>
      <c r="Y60" s="149">
        <v>48200</v>
      </c>
      <c r="Z60" s="149">
        <v>2142</v>
      </c>
      <c r="AA60" s="149">
        <v>20.399999999999999</v>
      </c>
      <c r="AB60" s="149">
        <v>4.3099999999999996</v>
      </c>
      <c r="AC60" s="149">
        <v>1928</v>
      </c>
      <c r="AD60" s="149">
        <v>214</v>
      </c>
      <c r="AE60" s="149">
        <v>2194</v>
      </c>
      <c r="AF60" s="149">
        <v>336</v>
      </c>
      <c r="AG60" s="149">
        <v>0.876</v>
      </c>
      <c r="AH60" s="149">
        <v>31.2</v>
      </c>
      <c r="AI60" s="149">
        <v>1.25</v>
      </c>
      <c r="AJ60" s="149">
        <v>89.1</v>
      </c>
      <c r="AK60" s="148">
        <v>116</v>
      </c>
    </row>
    <row r="61" spans="1:37">
      <c r="A61" s="150" t="s">
        <v>608</v>
      </c>
      <c r="B61" s="149">
        <v>506</v>
      </c>
      <c r="C61" s="149">
        <v>202</v>
      </c>
      <c r="D61" s="149">
        <v>12</v>
      </c>
      <c r="E61" s="149">
        <v>19</v>
      </c>
      <c r="F61" s="149">
        <v>21</v>
      </c>
      <c r="G61" s="149">
        <v>426</v>
      </c>
      <c r="H61" s="149">
        <v>57780</v>
      </c>
      <c r="I61" s="149">
        <v>2622</v>
      </c>
      <c r="J61" s="149">
        <v>2284</v>
      </c>
      <c r="K61" s="149">
        <v>260</v>
      </c>
      <c r="L61" s="149">
        <v>2613</v>
      </c>
      <c r="M61" s="149">
        <v>409</v>
      </c>
      <c r="N61" s="148">
        <v>137</v>
      </c>
      <c r="O61" s="150" t="s">
        <v>608</v>
      </c>
      <c r="P61" s="149">
        <v>107.3</v>
      </c>
      <c r="Q61" s="149">
        <v>506</v>
      </c>
      <c r="R61" s="149">
        <v>202</v>
      </c>
      <c r="S61" s="149">
        <v>12</v>
      </c>
      <c r="T61" s="149">
        <v>19</v>
      </c>
      <c r="U61" s="149">
        <v>21</v>
      </c>
      <c r="V61" s="149">
        <v>426</v>
      </c>
      <c r="W61" s="149">
        <v>5.32</v>
      </c>
      <c r="X61" s="149">
        <v>35.5</v>
      </c>
      <c r="Y61" s="149">
        <v>57780</v>
      </c>
      <c r="Z61" s="149">
        <v>2622</v>
      </c>
      <c r="AA61" s="149">
        <v>20.6</v>
      </c>
      <c r="AB61" s="149">
        <v>4.38</v>
      </c>
      <c r="AC61" s="149">
        <v>2284</v>
      </c>
      <c r="AD61" s="149">
        <v>260</v>
      </c>
      <c r="AE61" s="149">
        <v>2613</v>
      </c>
      <c r="AF61" s="149">
        <v>409</v>
      </c>
      <c r="AG61" s="149">
        <v>0.876</v>
      </c>
      <c r="AH61" s="149">
        <v>27</v>
      </c>
      <c r="AI61" s="149">
        <v>1.55</v>
      </c>
      <c r="AJ61" s="149">
        <v>143</v>
      </c>
      <c r="AK61" s="148">
        <v>137</v>
      </c>
    </row>
    <row r="62" spans="1:37">
      <c r="A62" s="150" t="s">
        <v>607</v>
      </c>
      <c r="B62" s="149">
        <v>508</v>
      </c>
      <c r="C62" s="149">
        <v>198</v>
      </c>
      <c r="D62" s="149">
        <v>12.6</v>
      </c>
      <c r="E62" s="149">
        <v>20</v>
      </c>
      <c r="F62" s="149">
        <v>21</v>
      </c>
      <c r="G62" s="149">
        <v>426</v>
      </c>
      <c r="H62" s="149">
        <v>59930</v>
      </c>
      <c r="I62" s="149">
        <v>2600</v>
      </c>
      <c r="J62" s="149">
        <v>2360</v>
      </c>
      <c r="K62" s="149">
        <v>263</v>
      </c>
      <c r="L62" s="149">
        <v>2709</v>
      </c>
      <c r="M62" s="149">
        <v>415</v>
      </c>
      <c r="N62" s="148">
        <v>142</v>
      </c>
      <c r="O62" s="150" t="s">
        <v>607</v>
      </c>
      <c r="P62" s="149">
        <v>111.4</v>
      </c>
      <c r="Q62" s="149">
        <v>508</v>
      </c>
      <c r="R62" s="149">
        <v>198</v>
      </c>
      <c r="S62" s="149">
        <v>12.6</v>
      </c>
      <c r="T62" s="149">
        <v>20</v>
      </c>
      <c r="U62" s="149">
        <v>21</v>
      </c>
      <c r="V62" s="149">
        <v>426</v>
      </c>
      <c r="W62" s="149">
        <v>4.95</v>
      </c>
      <c r="X62" s="149">
        <v>33.799999999999997</v>
      </c>
      <c r="Y62" s="149">
        <v>59930</v>
      </c>
      <c r="Z62" s="149">
        <v>2600</v>
      </c>
      <c r="AA62" s="149">
        <v>20.5</v>
      </c>
      <c r="AB62" s="149">
        <v>4.28</v>
      </c>
      <c r="AC62" s="149">
        <v>2360</v>
      </c>
      <c r="AD62" s="149">
        <v>263</v>
      </c>
      <c r="AE62" s="149">
        <v>2709</v>
      </c>
      <c r="AF62" s="149">
        <v>415</v>
      </c>
      <c r="AG62" s="149">
        <v>0.875</v>
      </c>
      <c r="AH62" s="149">
        <v>25.8</v>
      </c>
      <c r="AI62" s="149">
        <v>1.55</v>
      </c>
      <c r="AJ62" s="149">
        <v>162</v>
      </c>
      <c r="AK62" s="148">
        <v>142</v>
      </c>
    </row>
    <row r="63" spans="1:37">
      <c r="A63" s="147" t="s">
        <v>606</v>
      </c>
      <c r="B63" s="146">
        <v>514</v>
      </c>
      <c r="C63" s="146">
        <v>204</v>
      </c>
      <c r="D63" s="146">
        <v>14.2</v>
      </c>
      <c r="E63" s="146">
        <v>23</v>
      </c>
      <c r="F63" s="146">
        <v>21</v>
      </c>
      <c r="G63" s="146">
        <v>426</v>
      </c>
      <c r="H63" s="146">
        <v>70720</v>
      </c>
      <c r="I63" s="146">
        <v>3271</v>
      </c>
      <c r="J63" s="146">
        <v>2752</v>
      </c>
      <c r="K63" s="146">
        <v>321</v>
      </c>
      <c r="L63" s="146">
        <v>3168</v>
      </c>
      <c r="M63" s="146">
        <v>507</v>
      </c>
      <c r="N63" s="145">
        <v>164</v>
      </c>
      <c r="O63" s="147" t="s">
        <v>606</v>
      </c>
      <c r="P63" s="146">
        <v>128.80000000000001</v>
      </c>
      <c r="Q63" s="146">
        <v>514</v>
      </c>
      <c r="R63" s="146">
        <v>204</v>
      </c>
      <c r="S63" s="146">
        <v>14.2</v>
      </c>
      <c r="T63" s="146">
        <v>23</v>
      </c>
      <c r="U63" s="146">
        <v>21</v>
      </c>
      <c r="V63" s="146">
        <v>426</v>
      </c>
      <c r="W63" s="146">
        <v>4.43</v>
      </c>
      <c r="X63" s="146">
        <v>30</v>
      </c>
      <c r="Y63" s="146">
        <v>70720</v>
      </c>
      <c r="Z63" s="146">
        <v>3271</v>
      </c>
      <c r="AA63" s="146">
        <v>20.8</v>
      </c>
      <c r="AB63" s="146">
        <v>4.47</v>
      </c>
      <c r="AC63" s="146">
        <v>2752</v>
      </c>
      <c r="AD63" s="146">
        <v>321</v>
      </c>
      <c r="AE63" s="146">
        <v>3168</v>
      </c>
      <c r="AF63" s="146">
        <v>507</v>
      </c>
      <c r="AG63" s="146">
        <v>0.876</v>
      </c>
      <c r="AH63" s="146">
        <v>22.9</v>
      </c>
      <c r="AI63" s="146">
        <v>1.97</v>
      </c>
      <c r="AJ63" s="146">
        <v>242</v>
      </c>
      <c r="AK63" s="145">
        <v>164</v>
      </c>
    </row>
    <row r="64" spans="1:37">
      <c r="A64" s="150" t="s">
        <v>605</v>
      </c>
      <c r="B64" s="149">
        <v>547</v>
      </c>
      <c r="C64" s="149">
        <v>210</v>
      </c>
      <c r="D64" s="149">
        <v>9</v>
      </c>
      <c r="E64" s="149">
        <v>15.7</v>
      </c>
      <c r="F64" s="149">
        <v>24</v>
      </c>
      <c r="G64" s="149">
        <v>467.6</v>
      </c>
      <c r="H64" s="149">
        <v>59980</v>
      </c>
      <c r="I64" s="149">
        <v>2432</v>
      </c>
      <c r="J64" s="149">
        <v>2193</v>
      </c>
      <c r="K64" s="149">
        <v>232</v>
      </c>
      <c r="L64" s="149">
        <v>2475</v>
      </c>
      <c r="M64" s="149">
        <v>362</v>
      </c>
      <c r="N64" s="148">
        <v>117</v>
      </c>
      <c r="O64" s="150" t="s">
        <v>605</v>
      </c>
      <c r="P64" s="149">
        <v>92.1</v>
      </c>
      <c r="Q64" s="149">
        <v>547</v>
      </c>
      <c r="R64" s="149">
        <v>210</v>
      </c>
      <c r="S64" s="149">
        <v>9</v>
      </c>
      <c r="T64" s="149">
        <v>15.7</v>
      </c>
      <c r="U64" s="149">
        <v>24</v>
      </c>
      <c r="V64" s="149">
        <v>467.6</v>
      </c>
      <c r="W64" s="149">
        <v>6.69</v>
      </c>
      <c r="X64" s="149">
        <v>52</v>
      </c>
      <c r="Y64" s="149">
        <v>59980</v>
      </c>
      <c r="Z64" s="149">
        <v>2432</v>
      </c>
      <c r="AA64" s="149">
        <v>22.6</v>
      </c>
      <c r="AB64" s="149">
        <v>4.55</v>
      </c>
      <c r="AC64" s="149">
        <v>2193</v>
      </c>
      <c r="AD64" s="149">
        <v>232</v>
      </c>
      <c r="AE64" s="149">
        <v>2475</v>
      </c>
      <c r="AF64" s="149">
        <v>362</v>
      </c>
      <c r="AG64" s="149">
        <v>0.88200000000000001</v>
      </c>
      <c r="AH64" s="149">
        <v>34.5</v>
      </c>
      <c r="AI64" s="149">
        <v>1.72</v>
      </c>
      <c r="AJ64" s="149">
        <v>89.3</v>
      </c>
      <c r="AK64" s="148">
        <v>117</v>
      </c>
    </row>
    <row r="65" spans="1:37">
      <c r="A65" s="150" t="s">
        <v>604</v>
      </c>
      <c r="B65" s="149">
        <v>550</v>
      </c>
      <c r="C65" s="149">
        <v>210</v>
      </c>
      <c r="D65" s="149">
        <v>11.1</v>
      </c>
      <c r="E65" s="149">
        <v>17.2</v>
      </c>
      <c r="F65" s="149">
        <v>24</v>
      </c>
      <c r="G65" s="149">
        <v>467.6</v>
      </c>
      <c r="H65" s="149">
        <v>67120</v>
      </c>
      <c r="I65" s="149">
        <v>2668</v>
      </c>
      <c r="J65" s="149">
        <v>2441</v>
      </c>
      <c r="K65" s="149">
        <v>254</v>
      </c>
      <c r="L65" s="149">
        <v>2787</v>
      </c>
      <c r="M65" s="149">
        <v>401</v>
      </c>
      <c r="N65" s="148">
        <v>134</v>
      </c>
      <c r="O65" s="150" t="s">
        <v>604</v>
      </c>
      <c r="P65" s="149">
        <v>105.5</v>
      </c>
      <c r="Q65" s="149">
        <v>550</v>
      </c>
      <c r="R65" s="149">
        <v>210</v>
      </c>
      <c r="S65" s="149">
        <v>11.1</v>
      </c>
      <c r="T65" s="149">
        <v>17.2</v>
      </c>
      <c r="U65" s="149">
        <v>24</v>
      </c>
      <c r="V65" s="149">
        <v>467.6</v>
      </c>
      <c r="W65" s="149">
        <v>6.1</v>
      </c>
      <c r="X65" s="149">
        <v>42.1</v>
      </c>
      <c r="Y65" s="149">
        <v>67120</v>
      </c>
      <c r="Z65" s="149">
        <v>2668</v>
      </c>
      <c r="AA65" s="149">
        <v>22.3</v>
      </c>
      <c r="AB65" s="149">
        <v>4.45</v>
      </c>
      <c r="AC65" s="149">
        <v>2441</v>
      </c>
      <c r="AD65" s="149">
        <v>254</v>
      </c>
      <c r="AE65" s="149">
        <v>2787</v>
      </c>
      <c r="AF65" s="149">
        <v>401</v>
      </c>
      <c r="AG65" s="149">
        <v>0.873</v>
      </c>
      <c r="AH65" s="149">
        <v>31.5</v>
      </c>
      <c r="AI65" s="149">
        <v>1.89</v>
      </c>
      <c r="AJ65" s="149">
        <v>123</v>
      </c>
      <c r="AK65" s="148">
        <v>134</v>
      </c>
    </row>
    <row r="66" spans="1:37">
      <c r="A66" s="150" t="s">
        <v>603</v>
      </c>
      <c r="B66" s="149">
        <v>556</v>
      </c>
      <c r="C66" s="149">
        <v>212</v>
      </c>
      <c r="D66" s="149">
        <v>12.7</v>
      </c>
      <c r="E66" s="149">
        <v>20.2</v>
      </c>
      <c r="F66" s="149">
        <v>24</v>
      </c>
      <c r="G66" s="149">
        <v>467.6</v>
      </c>
      <c r="H66" s="149">
        <v>79160</v>
      </c>
      <c r="I66" s="149">
        <v>3224</v>
      </c>
      <c r="J66" s="149">
        <v>2847</v>
      </c>
      <c r="K66" s="149">
        <v>304</v>
      </c>
      <c r="L66" s="149">
        <v>3263</v>
      </c>
      <c r="M66" s="149">
        <v>481</v>
      </c>
      <c r="N66" s="148">
        <v>156</v>
      </c>
      <c r="O66" s="150" t="s">
        <v>603</v>
      </c>
      <c r="P66" s="149">
        <v>122.5</v>
      </c>
      <c r="Q66" s="149">
        <v>556</v>
      </c>
      <c r="R66" s="149">
        <v>212</v>
      </c>
      <c r="S66" s="149">
        <v>12.7</v>
      </c>
      <c r="T66" s="149">
        <v>20.2</v>
      </c>
      <c r="U66" s="149">
        <v>24</v>
      </c>
      <c r="V66" s="149">
        <v>467.6</v>
      </c>
      <c r="W66" s="149">
        <v>5.25</v>
      </c>
      <c r="X66" s="149">
        <v>36.799999999999997</v>
      </c>
      <c r="Y66" s="149">
        <v>79160</v>
      </c>
      <c r="Z66" s="149">
        <v>3224</v>
      </c>
      <c r="AA66" s="149">
        <v>22.5</v>
      </c>
      <c r="AB66" s="149">
        <v>4.55</v>
      </c>
      <c r="AC66" s="149">
        <v>2847</v>
      </c>
      <c r="AD66" s="149">
        <v>304</v>
      </c>
      <c r="AE66" s="149">
        <v>3263</v>
      </c>
      <c r="AF66" s="149">
        <v>481</v>
      </c>
      <c r="AG66" s="149">
        <v>0.874</v>
      </c>
      <c r="AH66" s="149">
        <v>27.7</v>
      </c>
      <c r="AI66" s="149">
        <v>2.31</v>
      </c>
      <c r="AJ66" s="149">
        <v>187</v>
      </c>
      <c r="AK66" s="148">
        <v>156</v>
      </c>
    </row>
    <row r="67" spans="1:37">
      <c r="A67" s="150" t="s">
        <v>602</v>
      </c>
      <c r="B67" s="149">
        <v>560</v>
      </c>
      <c r="C67" s="149">
        <v>210</v>
      </c>
      <c r="D67" s="149">
        <v>14</v>
      </c>
      <c r="E67" s="149">
        <v>22.2</v>
      </c>
      <c r="F67" s="149">
        <v>24</v>
      </c>
      <c r="G67" s="149">
        <v>467.6</v>
      </c>
      <c r="H67" s="149">
        <v>86600</v>
      </c>
      <c r="I67" s="149">
        <v>3447</v>
      </c>
      <c r="J67" s="149">
        <v>3093</v>
      </c>
      <c r="K67" s="149">
        <v>328</v>
      </c>
      <c r="L67" s="149">
        <v>3562</v>
      </c>
      <c r="M67" s="149">
        <v>521</v>
      </c>
      <c r="N67" s="148">
        <v>170</v>
      </c>
      <c r="O67" s="150" t="s">
        <v>602</v>
      </c>
      <c r="P67" s="149">
        <v>133.69999999999999</v>
      </c>
      <c r="Q67" s="149">
        <v>560</v>
      </c>
      <c r="R67" s="149">
        <v>210</v>
      </c>
      <c r="S67" s="149">
        <v>14</v>
      </c>
      <c r="T67" s="149">
        <v>22.2</v>
      </c>
      <c r="U67" s="149">
        <v>24</v>
      </c>
      <c r="V67" s="149">
        <v>467.6</v>
      </c>
      <c r="W67" s="149">
        <v>4.7300000000000004</v>
      </c>
      <c r="X67" s="149">
        <v>33.4</v>
      </c>
      <c r="Y67" s="149">
        <v>86600</v>
      </c>
      <c r="Z67" s="149">
        <v>3447</v>
      </c>
      <c r="AA67" s="149">
        <v>22.5</v>
      </c>
      <c r="AB67" s="149">
        <v>4.5</v>
      </c>
      <c r="AC67" s="149">
        <v>3093</v>
      </c>
      <c r="AD67" s="149">
        <v>328</v>
      </c>
      <c r="AE67" s="149">
        <v>3562</v>
      </c>
      <c r="AF67" s="149">
        <v>521</v>
      </c>
      <c r="AG67" s="149">
        <v>0.873</v>
      </c>
      <c r="AH67" s="149">
        <v>25.6</v>
      </c>
      <c r="AI67" s="149">
        <v>2.4900000000000002</v>
      </c>
      <c r="AJ67" s="149">
        <v>242</v>
      </c>
      <c r="AK67" s="148">
        <v>170</v>
      </c>
    </row>
    <row r="68" spans="1:37">
      <c r="A68" s="147" t="s">
        <v>601</v>
      </c>
      <c r="B68" s="146">
        <v>566</v>
      </c>
      <c r="C68" s="146">
        <v>216</v>
      </c>
      <c r="D68" s="146">
        <v>17.100000000000001</v>
      </c>
      <c r="E68" s="146">
        <v>25.2</v>
      </c>
      <c r="F68" s="146">
        <v>24</v>
      </c>
      <c r="G68" s="146">
        <v>467.6</v>
      </c>
      <c r="H68" s="146">
        <v>102300</v>
      </c>
      <c r="I68" s="146">
        <v>4265</v>
      </c>
      <c r="J68" s="146">
        <v>3616</v>
      </c>
      <c r="K68" s="146">
        <v>395</v>
      </c>
      <c r="L68" s="146">
        <v>4205</v>
      </c>
      <c r="M68" s="146">
        <v>632</v>
      </c>
      <c r="N68" s="145">
        <v>202</v>
      </c>
      <c r="O68" s="147" t="s">
        <v>601</v>
      </c>
      <c r="P68" s="146">
        <v>158.6</v>
      </c>
      <c r="Q68" s="146">
        <v>566</v>
      </c>
      <c r="R68" s="146">
        <v>216</v>
      </c>
      <c r="S68" s="146">
        <v>17.100000000000001</v>
      </c>
      <c r="T68" s="146">
        <v>25.2</v>
      </c>
      <c r="U68" s="146">
        <v>24</v>
      </c>
      <c r="V68" s="146">
        <v>467.6</v>
      </c>
      <c r="W68" s="146">
        <v>4.29</v>
      </c>
      <c r="X68" s="146">
        <v>27.3</v>
      </c>
      <c r="Y68" s="146">
        <v>102300</v>
      </c>
      <c r="Z68" s="146">
        <v>4265</v>
      </c>
      <c r="AA68" s="146">
        <v>22.5</v>
      </c>
      <c r="AB68" s="146">
        <v>4.5999999999999996</v>
      </c>
      <c r="AC68" s="146">
        <v>3616</v>
      </c>
      <c r="AD68" s="146">
        <v>395</v>
      </c>
      <c r="AE68" s="146">
        <v>4205</v>
      </c>
      <c r="AF68" s="146">
        <v>632</v>
      </c>
      <c r="AG68" s="146">
        <v>0.86799999999999999</v>
      </c>
      <c r="AH68" s="146">
        <v>22.5</v>
      </c>
      <c r="AI68" s="146">
        <v>3.12</v>
      </c>
      <c r="AJ68" s="146">
        <v>372</v>
      </c>
      <c r="AK68" s="145">
        <v>202</v>
      </c>
    </row>
    <row r="69" spans="1:37">
      <c r="A69" s="150" t="s">
        <v>600</v>
      </c>
      <c r="B69" s="149">
        <v>597</v>
      </c>
      <c r="C69" s="149">
        <v>220</v>
      </c>
      <c r="D69" s="149">
        <v>9.8000000000000007</v>
      </c>
      <c r="E69" s="149">
        <v>17.5</v>
      </c>
      <c r="F69" s="149">
        <v>24</v>
      </c>
      <c r="G69" s="149">
        <v>514</v>
      </c>
      <c r="H69" s="149">
        <v>82920</v>
      </c>
      <c r="I69" s="149">
        <v>3116</v>
      </c>
      <c r="J69" s="149">
        <v>2778</v>
      </c>
      <c r="K69" s="149">
        <v>283</v>
      </c>
      <c r="L69" s="149">
        <v>3141</v>
      </c>
      <c r="M69" s="149">
        <v>442</v>
      </c>
      <c r="N69" s="148">
        <v>137</v>
      </c>
      <c r="O69" s="150" t="s">
        <v>600</v>
      </c>
      <c r="P69" s="149">
        <v>107.6</v>
      </c>
      <c r="Q69" s="149">
        <v>597</v>
      </c>
      <c r="R69" s="149">
        <v>220</v>
      </c>
      <c r="S69" s="149">
        <v>9.8000000000000007</v>
      </c>
      <c r="T69" s="149">
        <v>17.5</v>
      </c>
      <c r="U69" s="149">
        <v>24</v>
      </c>
      <c r="V69" s="149">
        <v>514</v>
      </c>
      <c r="W69" s="149">
        <v>6.29</v>
      </c>
      <c r="X69" s="149">
        <v>52.4</v>
      </c>
      <c r="Y69" s="149">
        <v>82920</v>
      </c>
      <c r="Z69" s="149">
        <v>3116</v>
      </c>
      <c r="AA69" s="149">
        <v>24.6</v>
      </c>
      <c r="AB69" s="149">
        <v>4.7699999999999996</v>
      </c>
      <c r="AC69" s="149">
        <v>2778</v>
      </c>
      <c r="AD69" s="149">
        <v>283</v>
      </c>
      <c r="AE69" s="149">
        <v>3141</v>
      </c>
      <c r="AF69" s="149">
        <v>442</v>
      </c>
      <c r="AG69" s="149">
        <v>0.88100000000000001</v>
      </c>
      <c r="AH69" s="149">
        <v>34.700000000000003</v>
      </c>
      <c r="AI69" s="149">
        <v>2.62</v>
      </c>
      <c r="AJ69" s="149">
        <v>122</v>
      </c>
      <c r="AK69" s="148">
        <v>137</v>
      </c>
    </row>
    <row r="70" spans="1:37">
      <c r="A70" s="150" t="s">
        <v>599</v>
      </c>
      <c r="B70" s="149">
        <v>600</v>
      </c>
      <c r="C70" s="149">
        <v>220</v>
      </c>
      <c r="D70" s="149">
        <v>12</v>
      </c>
      <c r="E70" s="149">
        <v>19</v>
      </c>
      <c r="F70" s="149">
        <v>24</v>
      </c>
      <c r="G70" s="149">
        <v>514</v>
      </c>
      <c r="H70" s="149">
        <v>92080</v>
      </c>
      <c r="I70" s="149">
        <v>3387</v>
      </c>
      <c r="J70" s="149">
        <v>3069</v>
      </c>
      <c r="K70" s="149">
        <v>308</v>
      </c>
      <c r="L70" s="149">
        <v>3512</v>
      </c>
      <c r="M70" s="149">
        <v>486</v>
      </c>
      <c r="N70" s="148">
        <v>156</v>
      </c>
      <c r="O70" s="150" t="s">
        <v>599</v>
      </c>
      <c r="P70" s="149">
        <v>122.4</v>
      </c>
      <c r="Q70" s="149">
        <v>600</v>
      </c>
      <c r="R70" s="149">
        <v>220</v>
      </c>
      <c r="S70" s="149">
        <v>12</v>
      </c>
      <c r="T70" s="149">
        <v>19</v>
      </c>
      <c r="U70" s="149">
        <v>24</v>
      </c>
      <c r="V70" s="149">
        <v>514</v>
      </c>
      <c r="W70" s="149">
        <v>5.79</v>
      </c>
      <c r="X70" s="149">
        <v>42.8</v>
      </c>
      <c r="Y70" s="149">
        <v>92080</v>
      </c>
      <c r="Z70" s="149">
        <v>3387</v>
      </c>
      <c r="AA70" s="149">
        <v>24.3</v>
      </c>
      <c r="AB70" s="149">
        <v>4.66</v>
      </c>
      <c r="AC70" s="149">
        <v>3069</v>
      </c>
      <c r="AD70" s="149">
        <v>308</v>
      </c>
      <c r="AE70" s="149">
        <v>3512</v>
      </c>
      <c r="AF70" s="149">
        <v>486</v>
      </c>
      <c r="AG70" s="149">
        <v>0.872</v>
      </c>
      <c r="AH70" s="149">
        <v>32</v>
      </c>
      <c r="AI70" s="149">
        <v>2.86</v>
      </c>
      <c r="AJ70" s="149">
        <v>165</v>
      </c>
      <c r="AK70" s="148">
        <v>156</v>
      </c>
    </row>
    <row r="71" spans="1:37">
      <c r="A71" s="150" t="s">
        <v>598</v>
      </c>
      <c r="B71" s="149">
        <v>610</v>
      </c>
      <c r="C71" s="149">
        <v>224</v>
      </c>
      <c r="D71" s="149">
        <v>15</v>
      </c>
      <c r="E71" s="149">
        <v>24</v>
      </c>
      <c r="F71" s="149">
        <v>24</v>
      </c>
      <c r="G71" s="149">
        <v>514</v>
      </c>
      <c r="H71" s="149">
        <v>118300</v>
      </c>
      <c r="I71" s="149">
        <v>4521</v>
      </c>
      <c r="J71" s="149">
        <v>3879</v>
      </c>
      <c r="K71" s="149">
        <v>404</v>
      </c>
      <c r="L71" s="149">
        <v>4471</v>
      </c>
      <c r="M71" s="149">
        <v>640</v>
      </c>
      <c r="N71" s="148">
        <v>197</v>
      </c>
      <c r="O71" s="150" t="s">
        <v>598</v>
      </c>
      <c r="P71" s="149">
        <v>154.5</v>
      </c>
      <c r="Q71" s="149">
        <v>610</v>
      </c>
      <c r="R71" s="149">
        <v>224</v>
      </c>
      <c r="S71" s="149">
        <v>15</v>
      </c>
      <c r="T71" s="149">
        <v>24</v>
      </c>
      <c r="U71" s="149">
        <v>24</v>
      </c>
      <c r="V71" s="149">
        <v>514</v>
      </c>
      <c r="W71" s="149">
        <v>4.67</v>
      </c>
      <c r="X71" s="149">
        <v>34.299999999999997</v>
      </c>
      <c r="Y71" s="149">
        <v>118300</v>
      </c>
      <c r="Z71" s="149">
        <v>4521</v>
      </c>
      <c r="AA71" s="149">
        <v>24.5</v>
      </c>
      <c r="AB71" s="149">
        <v>4.79</v>
      </c>
      <c r="AC71" s="149">
        <v>3879</v>
      </c>
      <c r="AD71" s="149">
        <v>404</v>
      </c>
      <c r="AE71" s="149">
        <v>4471</v>
      </c>
      <c r="AF71" s="149">
        <v>640</v>
      </c>
      <c r="AG71" s="149">
        <v>0.872</v>
      </c>
      <c r="AH71" s="149">
        <v>26.2</v>
      </c>
      <c r="AI71" s="149">
        <v>3.88</v>
      </c>
      <c r="AJ71" s="149">
        <v>316</v>
      </c>
      <c r="AK71" s="148">
        <v>197</v>
      </c>
    </row>
    <row r="72" spans="1:37">
      <c r="A72" s="150" t="s">
        <v>597</v>
      </c>
      <c r="B72" s="149">
        <v>608</v>
      </c>
      <c r="C72" s="149">
        <v>218</v>
      </c>
      <c r="D72" s="149">
        <v>14</v>
      </c>
      <c r="E72" s="149">
        <v>23</v>
      </c>
      <c r="F72" s="149">
        <v>24</v>
      </c>
      <c r="G72" s="149">
        <v>514</v>
      </c>
      <c r="H72" s="149">
        <v>110300</v>
      </c>
      <c r="I72" s="149">
        <v>3993</v>
      </c>
      <c r="J72" s="149">
        <v>3629</v>
      </c>
      <c r="K72" s="149">
        <v>366</v>
      </c>
      <c r="L72" s="149">
        <v>4175</v>
      </c>
      <c r="M72" s="149">
        <v>580</v>
      </c>
      <c r="N72" s="148">
        <v>184</v>
      </c>
      <c r="O72" s="150" t="s">
        <v>597</v>
      </c>
      <c r="P72" s="149">
        <v>144.4</v>
      </c>
      <c r="Q72" s="149">
        <v>608</v>
      </c>
      <c r="R72" s="149">
        <v>218</v>
      </c>
      <c r="S72" s="149">
        <v>14</v>
      </c>
      <c r="T72" s="149">
        <v>23</v>
      </c>
      <c r="U72" s="149">
        <v>24</v>
      </c>
      <c r="V72" s="149">
        <v>514</v>
      </c>
      <c r="W72" s="149">
        <v>4.74</v>
      </c>
      <c r="X72" s="149">
        <v>36.700000000000003</v>
      </c>
      <c r="Y72" s="149">
        <v>110300</v>
      </c>
      <c r="Z72" s="149">
        <v>3993</v>
      </c>
      <c r="AA72" s="149">
        <v>24.5</v>
      </c>
      <c r="AB72" s="149">
        <v>4.66</v>
      </c>
      <c r="AC72" s="149">
        <v>3629</v>
      </c>
      <c r="AD72" s="149">
        <v>366</v>
      </c>
      <c r="AE72" s="149">
        <v>4175</v>
      </c>
      <c r="AF72" s="149">
        <v>580</v>
      </c>
      <c r="AG72" s="149">
        <v>0.873</v>
      </c>
      <c r="AH72" s="149">
        <v>27.3</v>
      </c>
      <c r="AI72" s="149">
        <v>3.42</v>
      </c>
      <c r="AJ72" s="149">
        <v>271</v>
      </c>
      <c r="AK72" s="148">
        <v>184</v>
      </c>
    </row>
    <row r="73" spans="1:37">
      <c r="A73" s="147" t="s">
        <v>596</v>
      </c>
      <c r="B73" s="146">
        <v>618</v>
      </c>
      <c r="C73" s="146">
        <v>228</v>
      </c>
      <c r="D73" s="146">
        <v>18</v>
      </c>
      <c r="E73" s="146">
        <v>28</v>
      </c>
      <c r="F73" s="146">
        <v>24</v>
      </c>
      <c r="G73" s="146">
        <v>514</v>
      </c>
      <c r="H73" s="146">
        <v>141600</v>
      </c>
      <c r="I73" s="146">
        <v>5570</v>
      </c>
      <c r="J73" s="146">
        <v>4582</v>
      </c>
      <c r="K73" s="146">
        <v>489</v>
      </c>
      <c r="L73" s="146">
        <v>5324</v>
      </c>
      <c r="M73" s="146">
        <v>780</v>
      </c>
      <c r="N73" s="145">
        <v>234</v>
      </c>
      <c r="O73" s="147" t="s">
        <v>596</v>
      </c>
      <c r="P73" s="146">
        <v>183.5</v>
      </c>
      <c r="Q73" s="146">
        <v>618</v>
      </c>
      <c r="R73" s="146">
        <v>228</v>
      </c>
      <c r="S73" s="146">
        <v>18</v>
      </c>
      <c r="T73" s="146">
        <v>28</v>
      </c>
      <c r="U73" s="146">
        <v>24</v>
      </c>
      <c r="V73" s="146">
        <v>514</v>
      </c>
      <c r="W73" s="146">
        <v>4.07</v>
      </c>
      <c r="X73" s="146">
        <v>28.6</v>
      </c>
      <c r="Y73" s="146">
        <v>141600</v>
      </c>
      <c r="Z73" s="146">
        <v>5570</v>
      </c>
      <c r="AA73" s="146">
        <v>24.6</v>
      </c>
      <c r="AB73" s="146">
        <v>4.88</v>
      </c>
      <c r="AC73" s="146">
        <v>4582</v>
      </c>
      <c r="AD73" s="146">
        <v>489</v>
      </c>
      <c r="AE73" s="146">
        <v>5324</v>
      </c>
      <c r="AF73" s="146">
        <v>780</v>
      </c>
      <c r="AG73" s="146">
        <v>0.87</v>
      </c>
      <c r="AH73" s="146">
        <v>22.7</v>
      </c>
      <c r="AI73" s="146">
        <v>4.8499999999999996</v>
      </c>
      <c r="AJ73" s="146">
        <v>506</v>
      </c>
      <c r="AK73" s="145">
        <v>234</v>
      </c>
    </row>
    <row r="74" spans="1:37">
      <c r="A74" s="150" t="s">
        <v>595</v>
      </c>
      <c r="B74" s="149">
        <v>753</v>
      </c>
      <c r="C74" s="149">
        <v>263</v>
      </c>
      <c r="D74" s="149">
        <v>11.5</v>
      </c>
      <c r="E74" s="149">
        <v>17</v>
      </c>
      <c r="F74" s="149">
        <v>17</v>
      </c>
      <c r="G74" s="149">
        <v>685</v>
      </c>
      <c r="H74" s="149">
        <v>159900</v>
      </c>
      <c r="I74" s="149">
        <v>5166</v>
      </c>
      <c r="J74" s="149">
        <v>4246</v>
      </c>
      <c r="K74" s="149">
        <v>393</v>
      </c>
      <c r="L74" s="149">
        <v>4865</v>
      </c>
      <c r="M74" s="149">
        <v>614</v>
      </c>
      <c r="N74" s="148">
        <v>175</v>
      </c>
      <c r="O74" s="150" t="s">
        <v>595</v>
      </c>
      <c r="P74" s="149">
        <v>137</v>
      </c>
      <c r="Q74" s="149">
        <v>753</v>
      </c>
      <c r="R74" s="149">
        <v>263</v>
      </c>
      <c r="S74" s="149">
        <v>11.5</v>
      </c>
      <c r="T74" s="149">
        <v>17</v>
      </c>
      <c r="U74" s="149">
        <v>17</v>
      </c>
      <c r="V74" s="149">
        <v>685</v>
      </c>
      <c r="W74" s="149">
        <v>7.74</v>
      </c>
      <c r="X74" s="149">
        <v>59.6</v>
      </c>
      <c r="Y74" s="149">
        <v>159900</v>
      </c>
      <c r="Z74" s="149">
        <v>5166</v>
      </c>
      <c r="AA74" s="149">
        <v>30.3</v>
      </c>
      <c r="AB74" s="149">
        <v>5.44</v>
      </c>
      <c r="AC74" s="149">
        <v>4246</v>
      </c>
      <c r="AD74" s="149">
        <v>393</v>
      </c>
      <c r="AE74" s="149">
        <v>4865</v>
      </c>
      <c r="AF74" s="149">
        <v>614</v>
      </c>
      <c r="AG74" s="149">
        <v>0.86299999999999999</v>
      </c>
      <c r="AH74" s="149">
        <v>47.3</v>
      </c>
      <c r="AI74" s="149">
        <v>7</v>
      </c>
      <c r="AJ74" s="149">
        <v>135</v>
      </c>
      <c r="AK74" s="148">
        <v>175</v>
      </c>
    </row>
    <row r="75" spans="1:37">
      <c r="A75" s="150" t="s">
        <v>594</v>
      </c>
      <c r="B75" s="149">
        <v>753</v>
      </c>
      <c r="C75" s="149">
        <v>265</v>
      </c>
      <c r="D75" s="149">
        <v>13.2</v>
      </c>
      <c r="E75" s="149">
        <v>17</v>
      </c>
      <c r="F75" s="149">
        <v>17</v>
      </c>
      <c r="G75" s="149">
        <v>685</v>
      </c>
      <c r="H75" s="149">
        <v>166100</v>
      </c>
      <c r="I75" s="149">
        <v>5289</v>
      </c>
      <c r="J75" s="149">
        <v>4411</v>
      </c>
      <c r="K75" s="149">
        <v>399</v>
      </c>
      <c r="L75" s="149">
        <v>5110</v>
      </c>
      <c r="M75" s="149">
        <v>631</v>
      </c>
      <c r="N75" s="148">
        <v>187</v>
      </c>
      <c r="O75" s="150" t="s">
        <v>594</v>
      </c>
      <c r="P75" s="149">
        <v>147.19999999999999</v>
      </c>
      <c r="Q75" s="149">
        <v>753</v>
      </c>
      <c r="R75" s="149">
        <v>265</v>
      </c>
      <c r="S75" s="149">
        <v>13.2</v>
      </c>
      <c r="T75" s="149">
        <v>17</v>
      </c>
      <c r="U75" s="149">
        <v>17</v>
      </c>
      <c r="V75" s="149">
        <v>685</v>
      </c>
      <c r="W75" s="149">
        <v>7.79</v>
      </c>
      <c r="X75" s="149">
        <v>51.9</v>
      </c>
      <c r="Y75" s="149">
        <v>166100</v>
      </c>
      <c r="Z75" s="149">
        <v>5289</v>
      </c>
      <c r="AA75" s="149">
        <v>29.8</v>
      </c>
      <c r="AB75" s="149">
        <v>5.31</v>
      </c>
      <c r="AC75" s="149">
        <v>4411</v>
      </c>
      <c r="AD75" s="149">
        <v>399</v>
      </c>
      <c r="AE75" s="149">
        <v>5110</v>
      </c>
      <c r="AF75" s="149">
        <v>631</v>
      </c>
      <c r="AG75" s="149">
        <v>0.85399999999999998</v>
      </c>
      <c r="AH75" s="149">
        <v>45.5</v>
      </c>
      <c r="AI75" s="149">
        <v>7.16</v>
      </c>
      <c r="AJ75" s="149">
        <v>157</v>
      </c>
      <c r="AK75" s="148">
        <v>187</v>
      </c>
    </row>
    <row r="76" spans="1:37">
      <c r="A76" s="150" t="s">
        <v>593</v>
      </c>
      <c r="B76" s="149">
        <v>758</v>
      </c>
      <c r="C76" s="149">
        <v>266</v>
      </c>
      <c r="D76" s="149">
        <v>13.8</v>
      </c>
      <c r="E76" s="149">
        <v>19.3</v>
      </c>
      <c r="F76" s="149">
        <v>17</v>
      </c>
      <c r="G76" s="149">
        <v>685.4</v>
      </c>
      <c r="H76" s="149">
        <v>186100</v>
      </c>
      <c r="I76" s="149">
        <v>6073</v>
      </c>
      <c r="J76" s="149">
        <v>4909</v>
      </c>
      <c r="K76" s="149">
        <v>457</v>
      </c>
      <c r="L76" s="149">
        <v>5666</v>
      </c>
      <c r="M76" s="149">
        <v>720</v>
      </c>
      <c r="N76" s="148">
        <v>204</v>
      </c>
      <c r="O76" s="150" t="s">
        <v>593</v>
      </c>
      <c r="P76" s="149">
        <v>160.5</v>
      </c>
      <c r="Q76" s="149">
        <v>758</v>
      </c>
      <c r="R76" s="149">
        <v>266</v>
      </c>
      <c r="S76" s="149">
        <v>13.8</v>
      </c>
      <c r="T76" s="149">
        <v>19.3</v>
      </c>
      <c r="U76" s="149">
        <v>17</v>
      </c>
      <c r="V76" s="149">
        <v>685.4</v>
      </c>
      <c r="W76" s="149">
        <v>6.89</v>
      </c>
      <c r="X76" s="149">
        <v>49.7</v>
      </c>
      <c r="Y76" s="149">
        <v>186100</v>
      </c>
      <c r="Z76" s="149">
        <v>6073</v>
      </c>
      <c r="AA76" s="149">
        <v>30.2</v>
      </c>
      <c r="AB76" s="149">
        <v>5.45</v>
      </c>
      <c r="AC76" s="149">
        <v>4909</v>
      </c>
      <c r="AD76" s="149">
        <v>457</v>
      </c>
      <c r="AE76" s="149">
        <v>5666</v>
      </c>
      <c r="AF76" s="149">
        <v>720</v>
      </c>
      <c r="AG76" s="149">
        <v>0.85899999999999999</v>
      </c>
      <c r="AH76" s="149">
        <v>41.5</v>
      </c>
      <c r="AI76" s="149">
        <v>8.2799999999999994</v>
      </c>
      <c r="AJ76" s="149">
        <v>208</v>
      </c>
      <c r="AK76" s="148">
        <v>204</v>
      </c>
    </row>
    <row r="77" spans="1:37">
      <c r="A77" s="150" t="s">
        <v>592</v>
      </c>
      <c r="B77" s="149">
        <v>762</v>
      </c>
      <c r="C77" s="149">
        <v>267</v>
      </c>
      <c r="D77" s="149">
        <v>14.4</v>
      </c>
      <c r="E77" s="149">
        <v>21.6</v>
      </c>
      <c r="F77" s="149">
        <v>17</v>
      </c>
      <c r="G77" s="149">
        <v>684.8</v>
      </c>
      <c r="H77" s="149">
        <v>205800</v>
      </c>
      <c r="I77" s="149">
        <v>6873</v>
      </c>
      <c r="J77" s="149">
        <v>5402</v>
      </c>
      <c r="K77" s="149">
        <v>515</v>
      </c>
      <c r="L77" s="149">
        <v>6218</v>
      </c>
      <c r="M77" s="149">
        <v>810</v>
      </c>
      <c r="N77" s="148">
        <v>221</v>
      </c>
      <c r="O77" s="150" t="s">
        <v>592</v>
      </c>
      <c r="P77" s="149">
        <v>173.7</v>
      </c>
      <c r="Q77" s="149">
        <v>762</v>
      </c>
      <c r="R77" s="149">
        <v>267</v>
      </c>
      <c r="S77" s="149">
        <v>14.4</v>
      </c>
      <c r="T77" s="149">
        <v>21.6</v>
      </c>
      <c r="U77" s="149">
        <v>17</v>
      </c>
      <c r="V77" s="149">
        <v>684.8</v>
      </c>
      <c r="W77" s="149">
        <v>6.18</v>
      </c>
      <c r="X77" s="149">
        <v>47.6</v>
      </c>
      <c r="Y77" s="149">
        <v>205800</v>
      </c>
      <c r="Z77" s="149">
        <v>6873</v>
      </c>
      <c r="AA77" s="149">
        <v>30.5</v>
      </c>
      <c r="AB77" s="149">
        <v>5.57</v>
      </c>
      <c r="AC77" s="149">
        <v>5402</v>
      </c>
      <c r="AD77" s="149">
        <v>515</v>
      </c>
      <c r="AE77" s="149">
        <v>6218</v>
      </c>
      <c r="AF77" s="149">
        <v>810</v>
      </c>
      <c r="AG77" s="149">
        <v>0.86399999999999999</v>
      </c>
      <c r="AH77" s="149">
        <v>37.9</v>
      </c>
      <c r="AI77" s="149">
        <v>9.42</v>
      </c>
      <c r="AJ77" s="149">
        <v>270</v>
      </c>
      <c r="AK77" s="148">
        <v>221</v>
      </c>
    </row>
    <row r="78" spans="1:37">
      <c r="A78" s="150" t="s">
        <v>591</v>
      </c>
      <c r="B78" s="149">
        <v>766</v>
      </c>
      <c r="C78" s="149">
        <v>267</v>
      </c>
      <c r="D78" s="149">
        <v>14.9</v>
      </c>
      <c r="E78" s="149">
        <v>23.6</v>
      </c>
      <c r="F78" s="149">
        <v>17</v>
      </c>
      <c r="G78" s="149">
        <v>684.8</v>
      </c>
      <c r="H78" s="149">
        <v>223000</v>
      </c>
      <c r="I78" s="149">
        <v>7510</v>
      </c>
      <c r="J78" s="149">
        <v>5821</v>
      </c>
      <c r="K78" s="149">
        <v>563</v>
      </c>
      <c r="L78" s="149">
        <v>6691</v>
      </c>
      <c r="M78" s="149">
        <v>884</v>
      </c>
      <c r="N78" s="148">
        <v>236</v>
      </c>
      <c r="O78" s="150" t="s">
        <v>591</v>
      </c>
      <c r="P78" s="149">
        <v>185</v>
      </c>
      <c r="Q78" s="149">
        <v>766</v>
      </c>
      <c r="R78" s="149">
        <v>267</v>
      </c>
      <c r="S78" s="149">
        <v>14.9</v>
      </c>
      <c r="T78" s="149">
        <v>23.6</v>
      </c>
      <c r="U78" s="149">
        <v>17</v>
      </c>
      <c r="V78" s="149">
        <v>684.8</v>
      </c>
      <c r="W78" s="149">
        <v>5.66</v>
      </c>
      <c r="X78" s="149">
        <v>46</v>
      </c>
      <c r="Y78" s="149">
        <v>223000</v>
      </c>
      <c r="Z78" s="149">
        <v>7510</v>
      </c>
      <c r="AA78" s="149">
        <v>30.8</v>
      </c>
      <c r="AB78" s="149">
        <v>5.65</v>
      </c>
      <c r="AC78" s="149">
        <v>5821</v>
      </c>
      <c r="AD78" s="149">
        <v>563</v>
      </c>
      <c r="AE78" s="149">
        <v>6691</v>
      </c>
      <c r="AF78" s="149">
        <v>884</v>
      </c>
      <c r="AG78" s="149">
        <v>0.86699999999999999</v>
      </c>
      <c r="AH78" s="149">
        <v>35.299999999999997</v>
      </c>
      <c r="AI78" s="149">
        <v>10.3</v>
      </c>
      <c r="AJ78" s="149">
        <v>334</v>
      </c>
      <c r="AK78" s="148">
        <v>236</v>
      </c>
    </row>
    <row r="79" spans="1:37">
      <c r="A79" s="150" t="s">
        <v>590</v>
      </c>
      <c r="B79" s="149">
        <v>770</v>
      </c>
      <c r="C79" s="149">
        <v>268</v>
      </c>
      <c r="D79" s="149">
        <v>15.6</v>
      </c>
      <c r="E79" s="149">
        <v>25.4</v>
      </c>
      <c r="F79" s="149">
        <v>17</v>
      </c>
      <c r="G79" s="149">
        <v>685.2</v>
      </c>
      <c r="H79" s="149">
        <v>240300</v>
      </c>
      <c r="I79" s="149">
        <v>8175</v>
      </c>
      <c r="J79" s="149">
        <v>6241</v>
      </c>
      <c r="K79" s="149">
        <v>610</v>
      </c>
      <c r="L79" s="149">
        <v>7174</v>
      </c>
      <c r="M79" s="149">
        <v>959</v>
      </c>
      <c r="N79" s="148">
        <v>251</v>
      </c>
      <c r="O79" s="150" t="s">
        <v>590</v>
      </c>
      <c r="P79" s="149">
        <v>196.9</v>
      </c>
      <c r="Q79" s="149">
        <v>770</v>
      </c>
      <c r="R79" s="149">
        <v>268</v>
      </c>
      <c r="S79" s="149">
        <v>15.6</v>
      </c>
      <c r="T79" s="149">
        <v>25.4</v>
      </c>
      <c r="U79" s="149">
        <v>17</v>
      </c>
      <c r="V79" s="149">
        <v>685.2</v>
      </c>
      <c r="W79" s="149">
        <v>5.28</v>
      </c>
      <c r="X79" s="149">
        <v>43.9</v>
      </c>
      <c r="Y79" s="149">
        <v>240300</v>
      </c>
      <c r="Z79" s="149">
        <v>8175</v>
      </c>
      <c r="AA79" s="149">
        <v>31</v>
      </c>
      <c r="AB79" s="149">
        <v>5.71</v>
      </c>
      <c r="AC79" s="149">
        <v>6241</v>
      </c>
      <c r="AD79" s="149">
        <v>610</v>
      </c>
      <c r="AE79" s="149">
        <v>7174</v>
      </c>
      <c r="AF79" s="149">
        <v>959</v>
      </c>
      <c r="AG79" s="149">
        <v>0.86899999999999999</v>
      </c>
      <c r="AH79" s="149">
        <v>33.1</v>
      </c>
      <c r="AI79" s="149">
        <v>11.3</v>
      </c>
      <c r="AJ79" s="149">
        <v>406</v>
      </c>
      <c r="AK79" s="148">
        <v>251</v>
      </c>
    </row>
    <row r="80" spans="1:37">
      <c r="A80" s="150" t="s">
        <v>589</v>
      </c>
      <c r="B80" s="149">
        <v>775</v>
      </c>
      <c r="C80" s="149">
        <v>268</v>
      </c>
      <c r="D80" s="149">
        <v>16</v>
      </c>
      <c r="E80" s="149">
        <v>28</v>
      </c>
      <c r="F80" s="149">
        <v>17</v>
      </c>
      <c r="G80" s="149">
        <v>685</v>
      </c>
      <c r="H80" s="149">
        <v>262200</v>
      </c>
      <c r="I80" s="149">
        <v>9011</v>
      </c>
      <c r="J80" s="149">
        <v>6765</v>
      </c>
      <c r="K80" s="149">
        <v>672</v>
      </c>
      <c r="L80" s="149">
        <v>7762</v>
      </c>
      <c r="M80" s="149">
        <v>1054</v>
      </c>
      <c r="N80" s="148">
        <v>268</v>
      </c>
      <c r="O80" s="150" t="s">
        <v>589</v>
      </c>
      <c r="P80" s="149">
        <v>210.1</v>
      </c>
      <c r="Q80" s="149">
        <v>775</v>
      </c>
      <c r="R80" s="149">
        <v>268</v>
      </c>
      <c r="S80" s="149">
        <v>16</v>
      </c>
      <c r="T80" s="149">
        <v>28</v>
      </c>
      <c r="U80" s="149">
        <v>17</v>
      </c>
      <c r="V80" s="149">
        <v>685</v>
      </c>
      <c r="W80" s="149">
        <v>4.79</v>
      </c>
      <c r="X80" s="149">
        <v>42.8</v>
      </c>
      <c r="Y80" s="149">
        <v>262200</v>
      </c>
      <c r="Z80" s="149">
        <v>9011</v>
      </c>
      <c r="AA80" s="149">
        <v>31.3</v>
      </c>
      <c r="AB80" s="149">
        <v>5.8</v>
      </c>
      <c r="AC80" s="149">
        <v>6765</v>
      </c>
      <c r="AD80" s="149">
        <v>672</v>
      </c>
      <c r="AE80" s="149">
        <v>7762</v>
      </c>
      <c r="AF80" s="149">
        <v>1054</v>
      </c>
      <c r="AG80" s="149">
        <v>0.874</v>
      </c>
      <c r="AH80" s="149">
        <v>30.6</v>
      </c>
      <c r="AI80" s="149">
        <v>12.6</v>
      </c>
      <c r="AJ80" s="149">
        <v>512</v>
      </c>
      <c r="AK80" s="148">
        <v>268</v>
      </c>
    </row>
    <row r="81" spans="1:37">
      <c r="A81" s="147" t="s">
        <v>588</v>
      </c>
      <c r="B81" s="146">
        <v>778</v>
      </c>
      <c r="C81" s="146">
        <v>269</v>
      </c>
      <c r="D81" s="146">
        <v>17</v>
      </c>
      <c r="E81" s="146">
        <v>29.5</v>
      </c>
      <c r="F81" s="146">
        <v>17</v>
      </c>
      <c r="G81" s="146">
        <v>685</v>
      </c>
      <c r="H81" s="146">
        <v>278200</v>
      </c>
      <c r="I81" s="146">
        <v>9604</v>
      </c>
      <c r="J81" s="146">
        <v>7152</v>
      </c>
      <c r="K81" s="146">
        <v>714</v>
      </c>
      <c r="L81" s="146">
        <v>8225</v>
      </c>
      <c r="M81" s="146">
        <v>1122</v>
      </c>
      <c r="N81" s="145">
        <v>283</v>
      </c>
      <c r="O81" s="147" t="s">
        <v>588</v>
      </c>
      <c r="P81" s="146">
        <v>222.5</v>
      </c>
      <c r="Q81" s="146">
        <v>778</v>
      </c>
      <c r="R81" s="146">
        <v>269</v>
      </c>
      <c r="S81" s="146">
        <v>17</v>
      </c>
      <c r="T81" s="146">
        <v>29.5</v>
      </c>
      <c r="U81" s="146">
        <v>17</v>
      </c>
      <c r="V81" s="146">
        <v>685</v>
      </c>
      <c r="W81" s="146">
        <v>4.5599999999999996</v>
      </c>
      <c r="X81" s="146">
        <v>40.299999999999997</v>
      </c>
      <c r="Y81" s="146">
        <v>278200</v>
      </c>
      <c r="Z81" s="146">
        <v>9604</v>
      </c>
      <c r="AA81" s="146">
        <v>31.3</v>
      </c>
      <c r="AB81" s="146">
        <v>5.82</v>
      </c>
      <c r="AC81" s="146">
        <v>7152</v>
      </c>
      <c r="AD81" s="146">
        <v>714</v>
      </c>
      <c r="AE81" s="146">
        <v>8225</v>
      </c>
      <c r="AF81" s="146">
        <v>1122</v>
      </c>
      <c r="AG81" s="146">
        <v>0.873</v>
      </c>
      <c r="AH81" s="146">
        <v>29.1</v>
      </c>
      <c r="AI81" s="146">
        <v>13.5</v>
      </c>
      <c r="AJ81" s="146">
        <v>601</v>
      </c>
      <c r="AK81" s="145">
        <v>283</v>
      </c>
    </row>
    <row r="82" spans="1:37">
      <c r="A82" s="153" t="s">
        <v>587</v>
      </c>
      <c r="B82" s="152">
        <v>91</v>
      </c>
      <c r="C82" s="152">
        <v>100</v>
      </c>
      <c r="D82" s="152">
        <v>4.2</v>
      </c>
      <c r="E82" s="152">
        <v>5.5</v>
      </c>
      <c r="F82" s="152">
        <v>12</v>
      </c>
      <c r="G82" s="152">
        <v>56</v>
      </c>
      <c r="H82" s="152">
        <v>237</v>
      </c>
      <c r="I82" s="152">
        <v>92.1</v>
      </c>
      <c r="J82" s="152">
        <v>52</v>
      </c>
      <c r="K82" s="152">
        <v>18.399999999999999</v>
      </c>
      <c r="L82" s="152">
        <v>58.4</v>
      </c>
      <c r="M82" s="152">
        <v>28.4</v>
      </c>
      <c r="N82" s="151">
        <v>15.6</v>
      </c>
      <c r="O82" s="153" t="s">
        <v>587</v>
      </c>
      <c r="P82" s="152">
        <v>12.2</v>
      </c>
      <c r="Q82" s="152">
        <v>91</v>
      </c>
      <c r="R82" s="152">
        <v>100</v>
      </c>
      <c r="S82" s="152">
        <v>4.2</v>
      </c>
      <c r="T82" s="152">
        <v>5.5</v>
      </c>
      <c r="U82" s="152">
        <v>12</v>
      </c>
      <c r="V82" s="152">
        <v>56</v>
      </c>
      <c r="W82" s="152">
        <v>9.09</v>
      </c>
      <c r="X82" s="152">
        <v>13.3</v>
      </c>
      <c r="Y82" s="152">
        <v>237</v>
      </c>
      <c r="Z82" s="152">
        <v>92.1</v>
      </c>
      <c r="AA82" s="152">
        <v>3.89</v>
      </c>
      <c r="AB82" s="152">
        <v>2.4300000000000002</v>
      </c>
      <c r="AC82" s="152">
        <v>52</v>
      </c>
      <c r="AD82" s="152">
        <v>18.399999999999999</v>
      </c>
      <c r="AE82" s="152">
        <v>58.4</v>
      </c>
      <c r="AF82" s="152">
        <v>28.4</v>
      </c>
      <c r="AG82" s="152">
        <v>0.82699999999999996</v>
      </c>
      <c r="AH82" s="152">
        <v>12.5</v>
      </c>
      <c r="AI82" s="152">
        <v>2E-3</v>
      </c>
      <c r="AJ82" s="152">
        <v>2.33</v>
      </c>
      <c r="AK82" s="151">
        <v>15.6</v>
      </c>
    </row>
    <row r="83" spans="1:37">
      <c r="A83" s="150" t="s">
        <v>586</v>
      </c>
      <c r="B83" s="149">
        <v>96</v>
      </c>
      <c r="C83" s="149">
        <v>100</v>
      </c>
      <c r="D83" s="149">
        <v>5</v>
      </c>
      <c r="E83" s="149">
        <v>8</v>
      </c>
      <c r="F83" s="149">
        <v>12</v>
      </c>
      <c r="G83" s="149">
        <v>56</v>
      </c>
      <c r="H83" s="149">
        <v>349</v>
      </c>
      <c r="I83" s="149">
        <v>134</v>
      </c>
      <c r="J83" s="149">
        <v>72.8</v>
      </c>
      <c r="K83" s="149">
        <v>26.8</v>
      </c>
      <c r="L83" s="149">
        <v>83</v>
      </c>
      <c r="M83" s="149">
        <v>41.1</v>
      </c>
      <c r="N83" s="148">
        <v>21.2</v>
      </c>
      <c r="O83" s="150" t="s">
        <v>586</v>
      </c>
      <c r="P83" s="149">
        <v>16.7</v>
      </c>
      <c r="Q83" s="149">
        <v>96</v>
      </c>
      <c r="R83" s="149">
        <v>100</v>
      </c>
      <c r="S83" s="149">
        <v>5</v>
      </c>
      <c r="T83" s="149">
        <v>8</v>
      </c>
      <c r="U83" s="149">
        <v>12</v>
      </c>
      <c r="V83" s="149">
        <v>56</v>
      </c>
      <c r="W83" s="149">
        <v>6.25</v>
      </c>
      <c r="X83" s="149">
        <v>11.2</v>
      </c>
      <c r="Y83" s="149">
        <v>349</v>
      </c>
      <c r="Z83" s="149">
        <v>134</v>
      </c>
      <c r="AA83" s="149">
        <v>4.0599999999999996</v>
      </c>
      <c r="AB83" s="149">
        <v>2.5099999999999998</v>
      </c>
      <c r="AC83" s="149">
        <v>72.8</v>
      </c>
      <c r="AD83" s="149">
        <v>26.8</v>
      </c>
      <c r="AE83" s="149">
        <v>83</v>
      </c>
      <c r="AF83" s="149">
        <v>41.1</v>
      </c>
      <c r="AG83" s="149">
        <v>0.83499999999999996</v>
      </c>
      <c r="AH83" s="149">
        <v>9.99</v>
      </c>
      <c r="AI83" s="149">
        <v>3.0000000000000001E-3</v>
      </c>
      <c r="AJ83" s="149">
        <v>5.28</v>
      </c>
      <c r="AK83" s="148">
        <v>21.2</v>
      </c>
    </row>
    <row r="84" spans="1:37">
      <c r="A84" s="147" t="s">
        <v>585</v>
      </c>
      <c r="B84" s="146">
        <v>100</v>
      </c>
      <c r="C84" s="146">
        <v>100</v>
      </c>
      <c r="D84" s="146">
        <v>6</v>
      </c>
      <c r="E84" s="146">
        <v>10</v>
      </c>
      <c r="F84" s="146">
        <v>12</v>
      </c>
      <c r="G84" s="146">
        <v>56</v>
      </c>
      <c r="H84" s="146">
        <v>450</v>
      </c>
      <c r="I84" s="146">
        <v>167</v>
      </c>
      <c r="J84" s="146">
        <v>89.9</v>
      </c>
      <c r="K84" s="146">
        <v>33.5</v>
      </c>
      <c r="L84" s="146">
        <v>104</v>
      </c>
      <c r="M84" s="146">
        <v>51.4</v>
      </c>
      <c r="N84" s="145">
        <v>26</v>
      </c>
      <c r="O84" s="147" t="s">
        <v>585</v>
      </c>
      <c r="P84" s="146">
        <v>20.399999999999999</v>
      </c>
      <c r="Q84" s="146">
        <v>100</v>
      </c>
      <c r="R84" s="146">
        <v>100</v>
      </c>
      <c r="S84" s="146">
        <v>6</v>
      </c>
      <c r="T84" s="146">
        <v>10</v>
      </c>
      <c r="U84" s="146">
        <v>12</v>
      </c>
      <c r="V84" s="146">
        <v>56</v>
      </c>
      <c r="W84" s="146">
        <v>5</v>
      </c>
      <c r="X84" s="146">
        <v>9.33</v>
      </c>
      <c r="Y84" s="146">
        <v>450</v>
      </c>
      <c r="Z84" s="146">
        <v>167</v>
      </c>
      <c r="AA84" s="146">
        <v>4.16</v>
      </c>
      <c r="AB84" s="146">
        <v>2.5299999999999998</v>
      </c>
      <c r="AC84" s="146">
        <v>89.9</v>
      </c>
      <c r="AD84" s="146">
        <v>33.5</v>
      </c>
      <c r="AE84" s="146">
        <v>104</v>
      </c>
      <c r="AF84" s="146">
        <v>51.4</v>
      </c>
      <c r="AG84" s="146">
        <v>0.84</v>
      </c>
      <c r="AH84" s="146">
        <v>8.51</v>
      </c>
      <c r="AI84" s="146">
        <v>3.0000000000000001E-3</v>
      </c>
      <c r="AJ84" s="146">
        <v>9.33</v>
      </c>
      <c r="AK84" s="145">
        <v>26</v>
      </c>
    </row>
    <row r="85" spans="1:37">
      <c r="A85" s="150" t="s">
        <v>584</v>
      </c>
      <c r="B85" s="149">
        <v>109</v>
      </c>
      <c r="C85" s="149">
        <v>120</v>
      </c>
      <c r="D85" s="149">
        <v>4.2</v>
      </c>
      <c r="E85" s="149">
        <v>5.5</v>
      </c>
      <c r="F85" s="149">
        <v>12</v>
      </c>
      <c r="G85" s="149">
        <v>74</v>
      </c>
      <c r="H85" s="149">
        <v>413</v>
      </c>
      <c r="I85" s="149">
        <v>159</v>
      </c>
      <c r="J85" s="149">
        <v>75.8</v>
      </c>
      <c r="K85" s="149">
        <v>26.5</v>
      </c>
      <c r="L85" s="149">
        <v>84.1</v>
      </c>
      <c r="M85" s="149">
        <v>40.6</v>
      </c>
      <c r="N85" s="148">
        <v>18.600000000000001</v>
      </c>
      <c r="O85" s="150" t="s">
        <v>584</v>
      </c>
      <c r="P85" s="149">
        <v>14.6</v>
      </c>
      <c r="Q85" s="149">
        <v>109</v>
      </c>
      <c r="R85" s="149">
        <v>120</v>
      </c>
      <c r="S85" s="149">
        <v>4.2</v>
      </c>
      <c r="T85" s="149">
        <v>5.5</v>
      </c>
      <c r="U85" s="149">
        <v>12</v>
      </c>
      <c r="V85" s="149">
        <v>74</v>
      </c>
      <c r="W85" s="149">
        <v>10.9</v>
      </c>
      <c r="X85" s="149">
        <v>17.600000000000001</v>
      </c>
      <c r="Y85" s="149">
        <v>413</v>
      </c>
      <c r="Z85" s="149">
        <v>159</v>
      </c>
      <c r="AA85" s="149">
        <v>4.72</v>
      </c>
      <c r="AB85" s="149">
        <v>2.93</v>
      </c>
      <c r="AC85" s="149">
        <v>75.8</v>
      </c>
      <c r="AD85" s="149">
        <v>26.5</v>
      </c>
      <c r="AE85" s="149">
        <v>84.1</v>
      </c>
      <c r="AF85" s="149">
        <v>40.6</v>
      </c>
      <c r="AG85" s="149">
        <v>0.82899999999999996</v>
      </c>
      <c r="AH85" s="149">
        <v>15.7</v>
      </c>
      <c r="AI85" s="149">
        <v>4.0000000000000001E-3</v>
      </c>
      <c r="AJ85" s="149">
        <v>2.59</v>
      </c>
      <c r="AK85" s="148">
        <v>18.600000000000001</v>
      </c>
    </row>
    <row r="86" spans="1:37">
      <c r="A86" s="150" t="s">
        <v>583</v>
      </c>
      <c r="B86" s="149">
        <v>114</v>
      </c>
      <c r="C86" s="149">
        <v>120</v>
      </c>
      <c r="D86" s="149">
        <v>5</v>
      </c>
      <c r="E86" s="149">
        <v>8</v>
      </c>
      <c r="F86" s="149">
        <v>12</v>
      </c>
      <c r="G86" s="149">
        <v>74</v>
      </c>
      <c r="H86" s="149">
        <v>606</v>
      </c>
      <c r="I86" s="149">
        <v>231</v>
      </c>
      <c r="J86" s="149">
        <v>106</v>
      </c>
      <c r="K86" s="149">
        <v>38.5</v>
      </c>
      <c r="L86" s="149">
        <v>119</v>
      </c>
      <c r="M86" s="149">
        <v>58.9</v>
      </c>
      <c r="N86" s="148">
        <v>25.3</v>
      </c>
      <c r="O86" s="150" t="s">
        <v>583</v>
      </c>
      <c r="P86" s="149">
        <v>19.899999999999999</v>
      </c>
      <c r="Q86" s="149">
        <v>114</v>
      </c>
      <c r="R86" s="149">
        <v>120</v>
      </c>
      <c r="S86" s="149">
        <v>5</v>
      </c>
      <c r="T86" s="149">
        <v>8</v>
      </c>
      <c r="U86" s="149">
        <v>12</v>
      </c>
      <c r="V86" s="149">
        <v>74</v>
      </c>
      <c r="W86" s="149">
        <v>7.5</v>
      </c>
      <c r="X86" s="149">
        <v>14.8</v>
      </c>
      <c r="Y86" s="149">
        <v>606</v>
      </c>
      <c r="Z86" s="149">
        <v>231</v>
      </c>
      <c r="AA86" s="149">
        <v>4.8899999999999997</v>
      </c>
      <c r="AB86" s="149">
        <v>3.02</v>
      </c>
      <c r="AC86" s="149">
        <v>106</v>
      </c>
      <c r="AD86" s="149">
        <v>38.5</v>
      </c>
      <c r="AE86" s="149">
        <v>119</v>
      </c>
      <c r="AF86" s="149">
        <v>58.9</v>
      </c>
      <c r="AG86" s="149">
        <v>0.83699999999999997</v>
      </c>
      <c r="AH86" s="149">
        <v>12.3</v>
      </c>
      <c r="AI86" s="149">
        <v>6.0000000000000001E-3</v>
      </c>
      <c r="AJ86" s="149">
        <v>6.04</v>
      </c>
      <c r="AK86" s="148">
        <v>25.3</v>
      </c>
    </row>
    <row r="87" spans="1:37">
      <c r="A87" s="147" t="s">
        <v>582</v>
      </c>
      <c r="B87" s="146">
        <v>120</v>
      </c>
      <c r="C87" s="146">
        <v>120</v>
      </c>
      <c r="D87" s="146">
        <v>6.5</v>
      </c>
      <c r="E87" s="146">
        <v>11</v>
      </c>
      <c r="F87" s="146">
        <v>12</v>
      </c>
      <c r="G87" s="146">
        <v>74</v>
      </c>
      <c r="H87" s="146">
        <v>864</v>
      </c>
      <c r="I87" s="146">
        <v>318</v>
      </c>
      <c r="J87" s="146">
        <v>144</v>
      </c>
      <c r="K87" s="146">
        <v>52.9</v>
      </c>
      <c r="L87" s="146">
        <v>165</v>
      </c>
      <c r="M87" s="146">
        <v>81</v>
      </c>
      <c r="N87" s="145">
        <v>34</v>
      </c>
      <c r="O87" s="147" t="s">
        <v>582</v>
      </c>
      <c r="P87" s="146">
        <v>26.7</v>
      </c>
      <c r="Q87" s="146">
        <v>120</v>
      </c>
      <c r="R87" s="146">
        <v>120</v>
      </c>
      <c r="S87" s="146">
        <v>6.5</v>
      </c>
      <c r="T87" s="146">
        <v>11</v>
      </c>
      <c r="U87" s="146">
        <v>12</v>
      </c>
      <c r="V87" s="146">
        <v>74</v>
      </c>
      <c r="W87" s="146">
        <v>5.45</v>
      </c>
      <c r="X87" s="146">
        <v>11.4</v>
      </c>
      <c r="Y87" s="146">
        <v>864</v>
      </c>
      <c r="Z87" s="146">
        <v>318</v>
      </c>
      <c r="AA87" s="146">
        <v>5.04</v>
      </c>
      <c r="AB87" s="146">
        <v>3.06</v>
      </c>
      <c r="AC87" s="146">
        <v>144</v>
      </c>
      <c r="AD87" s="146">
        <v>52.9</v>
      </c>
      <c r="AE87" s="146">
        <v>165</v>
      </c>
      <c r="AF87" s="146">
        <v>81</v>
      </c>
      <c r="AG87" s="146">
        <v>0.84199999999999997</v>
      </c>
      <c r="AH87" s="146">
        <v>9.64</v>
      </c>
      <c r="AI87" s="146">
        <v>8.9999999999999993E-3</v>
      </c>
      <c r="AJ87" s="146">
        <v>13.9</v>
      </c>
      <c r="AK87" s="145">
        <v>34</v>
      </c>
    </row>
    <row r="88" spans="1:37">
      <c r="A88" s="150" t="s">
        <v>581</v>
      </c>
      <c r="B88" s="149">
        <v>128</v>
      </c>
      <c r="C88" s="149">
        <v>140</v>
      </c>
      <c r="D88" s="149">
        <v>4.3</v>
      </c>
      <c r="E88" s="149">
        <v>6</v>
      </c>
      <c r="F88" s="149">
        <v>12</v>
      </c>
      <c r="G88" s="149">
        <v>92</v>
      </c>
      <c r="H88" s="149">
        <v>719</v>
      </c>
      <c r="I88" s="149">
        <v>275</v>
      </c>
      <c r="J88" s="149">
        <v>112</v>
      </c>
      <c r="K88" s="149">
        <v>39.299999999999997</v>
      </c>
      <c r="L88" s="149">
        <v>124</v>
      </c>
      <c r="M88" s="149">
        <v>59.9</v>
      </c>
      <c r="N88" s="148">
        <v>23</v>
      </c>
      <c r="O88" s="150" t="s">
        <v>581</v>
      </c>
      <c r="P88" s="149">
        <v>18.100000000000001</v>
      </c>
      <c r="Q88" s="149">
        <v>128</v>
      </c>
      <c r="R88" s="149">
        <v>140</v>
      </c>
      <c r="S88" s="149">
        <v>4.3</v>
      </c>
      <c r="T88" s="149">
        <v>6</v>
      </c>
      <c r="U88" s="149">
        <v>12</v>
      </c>
      <c r="V88" s="149">
        <v>92</v>
      </c>
      <c r="W88" s="149">
        <v>11.7</v>
      </c>
      <c r="X88" s="149">
        <v>21.4</v>
      </c>
      <c r="Y88" s="149">
        <v>719</v>
      </c>
      <c r="Z88" s="149">
        <v>275</v>
      </c>
      <c r="AA88" s="149">
        <v>5.59</v>
      </c>
      <c r="AB88" s="149">
        <v>3.45</v>
      </c>
      <c r="AC88" s="149">
        <v>112</v>
      </c>
      <c r="AD88" s="149">
        <v>39.299999999999997</v>
      </c>
      <c r="AE88" s="149">
        <v>124</v>
      </c>
      <c r="AF88" s="149">
        <v>59.9</v>
      </c>
      <c r="AG88" s="149">
        <v>0.83199999999999996</v>
      </c>
      <c r="AH88" s="149">
        <v>17.899999999999999</v>
      </c>
      <c r="AI88" s="149">
        <v>0.01</v>
      </c>
      <c r="AJ88" s="149">
        <v>3.43</v>
      </c>
      <c r="AK88" s="148">
        <v>23</v>
      </c>
    </row>
    <row r="89" spans="1:37">
      <c r="A89" s="150" t="s">
        <v>580</v>
      </c>
      <c r="B89" s="149">
        <v>133</v>
      </c>
      <c r="C89" s="149">
        <v>140</v>
      </c>
      <c r="D89" s="149">
        <v>5.5</v>
      </c>
      <c r="E89" s="149">
        <v>8.5</v>
      </c>
      <c r="F89" s="149">
        <v>12</v>
      </c>
      <c r="G89" s="149">
        <v>92</v>
      </c>
      <c r="H89" s="149">
        <v>1033</v>
      </c>
      <c r="I89" s="149">
        <v>389</v>
      </c>
      <c r="J89" s="149">
        <v>155</v>
      </c>
      <c r="K89" s="149">
        <v>55.6</v>
      </c>
      <c r="L89" s="149">
        <v>173</v>
      </c>
      <c r="M89" s="149">
        <v>84.8</v>
      </c>
      <c r="N89" s="148">
        <v>31.4</v>
      </c>
      <c r="O89" s="150" t="s">
        <v>580</v>
      </c>
      <c r="P89" s="149">
        <v>24.7</v>
      </c>
      <c r="Q89" s="149">
        <v>133</v>
      </c>
      <c r="R89" s="149">
        <v>140</v>
      </c>
      <c r="S89" s="149">
        <v>5.5</v>
      </c>
      <c r="T89" s="149">
        <v>8.5</v>
      </c>
      <c r="U89" s="149">
        <v>12</v>
      </c>
      <c r="V89" s="149">
        <v>92</v>
      </c>
      <c r="W89" s="149">
        <v>8.24</v>
      </c>
      <c r="X89" s="149">
        <v>16.7</v>
      </c>
      <c r="Y89" s="149">
        <v>1033</v>
      </c>
      <c r="Z89" s="149">
        <v>389</v>
      </c>
      <c r="AA89" s="149">
        <v>5.73</v>
      </c>
      <c r="AB89" s="149">
        <v>3.52</v>
      </c>
      <c r="AC89" s="149">
        <v>155</v>
      </c>
      <c r="AD89" s="149">
        <v>55.6</v>
      </c>
      <c r="AE89" s="149">
        <v>173</v>
      </c>
      <c r="AF89" s="149">
        <v>84.8</v>
      </c>
      <c r="AG89" s="149">
        <v>0.83699999999999997</v>
      </c>
      <c r="AH89" s="149">
        <v>13.9</v>
      </c>
      <c r="AI89" s="149">
        <v>1.4999999999999999E-2</v>
      </c>
      <c r="AJ89" s="149">
        <v>8.1</v>
      </c>
      <c r="AK89" s="148">
        <v>31.4</v>
      </c>
    </row>
    <row r="90" spans="1:37">
      <c r="A90" s="147" t="s">
        <v>579</v>
      </c>
      <c r="B90" s="146">
        <v>140</v>
      </c>
      <c r="C90" s="146">
        <v>140</v>
      </c>
      <c r="D90" s="146">
        <v>7</v>
      </c>
      <c r="E90" s="146">
        <v>12</v>
      </c>
      <c r="F90" s="146">
        <v>12</v>
      </c>
      <c r="G90" s="146">
        <v>92</v>
      </c>
      <c r="H90" s="146">
        <v>1509</v>
      </c>
      <c r="I90" s="146">
        <v>550</v>
      </c>
      <c r="J90" s="146">
        <v>216</v>
      </c>
      <c r="K90" s="146">
        <v>78.5</v>
      </c>
      <c r="L90" s="146">
        <v>245</v>
      </c>
      <c r="M90" s="146">
        <v>120</v>
      </c>
      <c r="N90" s="145">
        <v>43</v>
      </c>
      <c r="O90" s="147" t="s">
        <v>579</v>
      </c>
      <c r="P90" s="146">
        <v>33.700000000000003</v>
      </c>
      <c r="Q90" s="146">
        <v>140</v>
      </c>
      <c r="R90" s="146">
        <v>140</v>
      </c>
      <c r="S90" s="146">
        <v>7</v>
      </c>
      <c r="T90" s="146">
        <v>12</v>
      </c>
      <c r="U90" s="146">
        <v>12</v>
      </c>
      <c r="V90" s="146">
        <v>92</v>
      </c>
      <c r="W90" s="146">
        <v>5.83</v>
      </c>
      <c r="X90" s="146">
        <v>13.1</v>
      </c>
      <c r="Y90" s="146">
        <v>1509</v>
      </c>
      <c r="Z90" s="146">
        <v>550</v>
      </c>
      <c r="AA90" s="146">
        <v>5.93</v>
      </c>
      <c r="AB90" s="146">
        <v>3.58</v>
      </c>
      <c r="AC90" s="146">
        <v>216</v>
      </c>
      <c r="AD90" s="146">
        <v>78.5</v>
      </c>
      <c r="AE90" s="146">
        <v>245</v>
      </c>
      <c r="AF90" s="146">
        <v>120</v>
      </c>
      <c r="AG90" s="146">
        <v>0.84399999999999997</v>
      </c>
      <c r="AH90" s="146">
        <v>10.6</v>
      </c>
      <c r="AI90" s="146">
        <v>2.3E-2</v>
      </c>
      <c r="AJ90" s="146">
        <v>20.2</v>
      </c>
      <c r="AK90" s="145">
        <v>43</v>
      </c>
    </row>
    <row r="91" spans="1:37">
      <c r="A91" s="150" t="s">
        <v>578</v>
      </c>
      <c r="B91" s="149">
        <v>148</v>
      </c>
      <c r="C91" s="149">
        <v>160</v>
      </c>
      <c r="D91" s="149">
        <v>4.5</v>
      </c>
      <c r="E91" s="149">
        <v>7</v>
      </c>
      <c r="F91" s="149">
        <v>15</v>
      </c>
      <c r="G91" s="149">
        <v>104</v>
      </c>
      <c r="H91" s="149">
        <v>1283</v>
      </c>
      <c r="I91" s="149">
        <v>479</v>
      </c>
      <c r="J91" s="149">
        <v>173</v>
      </c>
      <c r="K91" s="149">
        <v>59.8</v>
      </c>
      <c r="L91" s="149">
        <v>190</v>
      </c>
      <c r="M91" s="149">
        <v>91.4</v>
      </c>
      <c r="N91" s="148">
        <v>30.4</v>
      </c>
      <c r="O91" s="150" t="s">
        <v>578</v>
      </c>
      <c r="P91" s="149">
        <v>23.8</v>
      </c>
      <c r="Q91" s="149">
        <v>148</v>
      </c>
      <c r="R91" s="149">
        <v>160</v>
      </c>
      <c r="S91" s="149">
        <v>4.5</v>
      </c>
      <c r="T91" s="149">
        <v>7</v>
      </c>
      <c r="U91" s="149">
        <v>15</v>
      </c>
      <c r="V91" s="149">
        <v>104</v>
      </c>
      <c r="W91" s="149">
        <v>11.4</v>
      </c>
      <c r="X91" s="149">
        <v>23.1</v>
      </c>
      <c r="Y91" s="149">
        <v>1283</v>
      </c>
      <c r="Z91" s="149">
        <v>479</v>
      </c>
      <c r="AA91" s="149">
        <v>6.5</v>
      </c>
      <c r="AB91" s="149">
        <v>3.97</v>
      </c>
      <c r="AC91" s="149">
        <v>173</v>
      </c>
      <c r="AD91" s="149">
        <v>59.8</v>
      </c>
      <c r="AE91" s="149">
        <v>190</v>
      </c>
      <c r="AF91" s="149">
        <v>91.4</v>
      </c>
      <c r="AG91" s="149">
        <v>0.83899999999999997</v>
      </c>
      <c r="AH91" s="149">
        <v>17.3</v>
      </c>
      <c r="AI91" s="149">
        <v>2.4E-2</v>
      </c>
      <c r="AJ91" s="149">
        <v>6.43</v>
      </c>
      <c r="AK91" s="148">
        <v>30.4</v>
      </c>
    </row>
    <row r="92" spans="1:37">
      <c r="A92" s="150" t="s">
        <v>577</v>
      </c>
      <c r="B92" s="149">
        <v>152</v>
      </c>
      <c r="C92" s="149">
        <v>160</v>
      </c>
      <c r="D92" s="149">
        <v>6</v>
      </c>
      <c r="E92" s="149">
        <v>9</v>
      </c>
      <c r="F92" s="149">
        <v>15</v>
      </c>
      <c r="G92" s="149">
        <v>104</v>
      </c>
      <c r="H92" s="149">
        <v>1673</v>
      </c>
      <c r="I92" s="149">
        <v>616</v>
      </c>
      <c r="J92" s="149">
        <v>220</v>
      </c>
      <c r="K92" s="149">
        <v>76.900000000000006</v>
      </c>
      <c r="L92" s="149">
        <v>245</v>
      </c>
      <c r="M92" s="149">
        <v>118</v>
      </c>
      <c r="N92" s="148">
        <v>38.799999999999997</v>
      </c>
      <c r="O92" s="150" t="s">
        <v>577</v>
      </c>
      <c r="P92" s="149">
        <v>30.4</v>
      </c>
      <c r="Q92" s="149">
        <v>152</v>
      </c>
      <c r="R92" s="149">
        <v>160</v>
      </c>
      <c r="S92" s="149">
        <v>6</v>
      </c>
      <c r="T92" s="149">
        <v>9</v>
      </c>
      <c r="U92" s="149">
        <v>15</v>
      </c>
      <c r="V92" s="149">
        <v>104</v>
      </c>
      <c r="W92" s="149">
        <v>8.89</v>
      </c>
      <c r="X92" s="149">
        <v>17.3</v>
      </c>
      <c r="Y92" s="149">
        <v>1673</v>
      </c>
      <c r="Z92" s="149">
        <v>616</v>
      </c>
      <c r="AA92" s="149">
        <v>6.57</v>
      </c>
      <c r="AB92" s="149">
        <v>3.98</v>
      </c>
      <c r="AC92" s="149">
        <v>220</v>
      </c>
      <c r="AD92" s="149">
        <v>76.900000000000006</v>
      </c>
      <c r="AE92" s="149">
        <v>245</v>
      </c>
      <c r="AF92" s="149">
        <v>118</v>
      </c>
      <c r="AG92" s="149">
        <v>0.83799999999999997</v>
      </c>
      <c r="AH92" s="149">
        <v>14.5</v>
      </c>
      <c r="AI92" s="149">
        <v>3.1E-2</v>
      </c>
      <c r="AJ92" s="149">
        <v>12.1</v>
      </c>
      <c r="AK92" s="148">
        <v>38.799999999999997</v>
      </c>
    </row>
    <row r="93" spans="1:37">
      <c r="A93" s="150" t="s">
        <v>576</v>
      </c>
      <c r="B93" s="149">
        <v>160</v>
      </c>
      <c r="C93" s="149">
        <v>160</v>
      </c>
      <c r="D93" s="149">
        <v>8</v>
      </c>
      <c r="E93" s="149">
        <v>13</v>
      </c>
      <c r="F93" s="149">
        <v>15</v>
      </c>
      <c r="G93" s="149">
        <v>104</v>
      </c>
      <c r="H93" s="149">
        <v>2492</v>
      </c>
      <c r="I93" s="149">
        <v>889</v>
      </c>
      <c r="J93" s="149">
        <v>312</v>
      </c>
      <c r="K93" s="149">
        <v>111</v>
      </c>
      <c r="L93" s="149">
        <v>354</v>
      </c>
      <c r="M93" s="149">
        <v>170</v>
      </c>
      <c r="N93" s="148">
        <v>54.3</v>
      </c>
      <c r="O93" s="150" t="s">
        <v>576</v>
      </c>
      <c r="P93" s="149">
        <v>42.6</v>
      </c>
      <c r="Q93" s="149">
        <v>160</v>
      </c>
      <c r="R93" s="149">
        <v>160</v>
      </c>
      <c r="S93" s="149">
        <v>8</v>
      </c>
      <c r="T93" s="149">
        <v>13</v>
      </c>
      <c r="U93" s="149">
        <v>15</v>
      </c>
      <c r="V93" s="149">
        <v>104</v>
      </c>
      <c r="W93" s="149">
        <v>6.15</v>
      </c>
      <c r="X93" s="149">
        <v>13</v>
      </c>
      <c r="Y93" s="149">
        <v>2492</v>
      </c>
      <c r="Z93" s="149">
        <v>889</v>
      </c>
      <c r="AA93" s="149">
        <v>6.78</v>
      </c>
      <c r="AB93" s="149">
        <v>4.05</v>
      </c>
      <c r="AC93" s="149">
        <v>312</v>
      </c>
      <c r="AD93" s="149">
        <v>111</v>
      </c>
      <c r="AE93" s="149">
        <v>354</v>
      </c>
      <c r="AF93" s="149">
        <v>170</v>
      </c>
      <c r="AG93" s="149">
        <v>0.84399999999999997</v>
      </c>
      <c r="AH93" s="149">
        <v>11</v>
      </c>
      <c r="AI93" s="149">
        <v>4.8000000000000001E-2</v>
      </c>
      <c r="AJ93" s="149">
        <v>31.3</v>
      </c>
      <c r="AK93" s="148">
        <v>54.3</v>
      </c>
    </row>
    <row r="94" spans="1:37">
      <c r="A94" s="147" t="s">
        <v>575</v>
      </c>
      <c r="B94" s="146">
        <v>180</v>
      </c>
      <c r="C94" s="146">
        <v>166</v>
      </c>
      <c r="D94" s="146">
        <v>14</v>
      </c>
      <c r="E94" s="146">
        <v>23</v>
      </c>
      <c r="F94" s="146">
        <v>15</v>
      </c>
      <c r="G94" s="146">
        <v>104</v>
      </c>
      <c r="H94" s="146">
        <v>5098</v>
      </c>
      <c r="I94" s="146">
        <v>1759</v>
      </c>
      <c r="J94" s="146">
        <v>566</v>
      </c>
      <c r="K94" s="146">
        <v>212</v>
      </c>
      <c r="L94" s="146">
        <v>675</v>
      </c>
      <c r="M94" s="146">
        <v>325</v>
      </c>
      <c r="N94" s="145">
        <v>97.1</v>
      </c>
      <c r="O94" s="147" t="s">
        <v>575</v>
      </c>
      <c r="P94" s="146">
        <v>76.2</v>
      </c>
      <c r="Q94" s="146">
        <v>180</v>
      </c>
      <c r="R94" s="146">
        <v>166</v>
      </c>
      <c r="S94" s="146">
        <v>14</v>
      </c>
      <c r="T94" s="146">
        <v>23</v>
      </c>
      <c r="U94" s="146">
        <v>15</v>
      </c>
      <c r="V94" s="146">
        <v>104</v>
      </c>
      <c r="W94" s="146">
        <v>3.61</v>
      </c>
      <c r="X94" s="146">
        <v>7.43</v>
      </c>
      <c r="Y94" s="146">
        <v>5098</v>
      </c>
      <c r="Z94" s="146">
        <v>1759</v>
      </c>
      <c r="AA94" s="146">
        <v>7.25</v>
      </c>
      <c r="AB94" s="146">
        <v>4.26</v>
      </c>
      <c r="AC94" s="146">
        <v>566</v>
      </c>
      <c r="AD94" s="146">
        <v>212</v>
      </c>
      <c r="AE94" s="146">
        <v>675</v>
      </c>
      <c r="AF94" s="146">
        <v>325</v>
      </c>
      <c r="AG94" s="146">
        <v>0.84699999999999998</v>
      </c>
      <c r="AH94" s="146">
        <v>6.91</v>
      </c>
      <c r="AI94" s="146">
        <v>0.108</v>
      </c>
      <c r="AJ94" s="146">
        <v>161</v>
      </c>
      <c r="AK94" s="145">
        <v>97.1</v>
      </c>
    </row>
    <row r="95" spans="1:37">
      <c r="A95" s="150" t="s">
        <v>574</v>
      </c>
      <c r="B95" s="149">
        <v>167</v>
      </c>
      <c r="C95" s="149">
        <v>180</v>
      </c>
      <c r="D95" s="149">
        <v>5</v>
      </c>
      <c r="E95" s="149">
        <v>7.5</v>
      </c>
      <c r="F95" s="149">
        <v>15</v>
      </c>
      <c r="G95" s="149">
        <v>122</v>
      </c>
      <c r="H95" s="149">
        <v>1967</v>
      </c>
      <c r="I95" s="149">
        <v>730</v>
      </c>
      <c r="J95" s="149">
        <v>236</v>
      </c>
      <c r="K95" s="149">
        <v>81.099999999999994</v>
      </c>
      <c r="L95" s="149">
        <v>258</v>
      </c>
      <c r="M95" s="149">
        <v>124</v>
      </c>
      <c r="N95" s="148">
        <v>36.5</v>
      </c>
      <c r="O95" s="150" t="s">
        <v>574</v>
      </c>
      <c r="P95" s="149">
        <v>28.7</v>
      </c>
      <c r="Q95" s="149">
        <v>167</v>
      </c>
      <c r="R95" s="149">
        <v>180</v>
      </c>
      <c r="S95" s="149">
        <v>5</v>
      </c>
      <c r="T95" s="149">
        <v>7.5</v>
      </c>
      <c r="U95" s="149">
        <v>15</v>
      </c>
      <c r="V95" s="149">
        <v>122</v>
      </c>
      <c r="W95" s="149">
        <v>12</v>
      </c>
      <c r="X95" s="149">
        <v>24.4</v>
      </c>
      <c r="Y95" s="149">
        <v>1967</v>
      </c>
      <c r="Z95" s="149">
        <v>730</v>
      </c>
      <c r="AA95" s="149">
        <v>7.34</v>
      </c>
      <c r="AB95" s="149">
        <v>4.47</v>
      </c>
      <c r="AC95" s="149">
        <v>236</v>
      </c>
      <c r="AD95" s="149">
        <v>81.099999999999994</v>
      </c>
      <c r="AE95" s="149">
        <v>258</v>
      </c>
      <c r="AF95" s="149">
        <v>124</v>
      </c>
      <c r="AG95" s="149">
        <v>0.83799999999999997</v>
      </c>
      <c r="AH95" s="149">
        <v>18.899999999999999</v>
      </c>
      <c r="AI95" s="149">
        <v>4.5999999999999999E-2</v>
      </c>
      <c r="AJ95" s="149">
        <v>8.31</v>
      </c>
      <c r="AK95" s="148">
        <v>36.5</v>
      </c>
    </row>
    <row r="96" spans="1:37">
      <c r="A96" s="150" t="s">
        <v>573</v>
      </c>
      <c r="B96" s="149">
        <v>171</v>
      </c>
      <c r="C96" s="149">
        <v>180</v>
      </c>
      <c r="D96" s="149">
        <v>6</v>
      </c>
      <c r="E96" s="149">
        <v>9.5</v>
      </c>
      <c r="F96" s="149">
        <v>15</v>
      </c>
      <c r="G96" s="149">
        <v>122</v>
      </c>
      <c r="H96" s="149">
        <v>2510</v>
      </c>
      <c r="I96" s="149">
        <v>925</v>
      </c>
      <c r="J96" s="149">
        <v>294</v>
      </c>
      <c r="K96" s="149">
        <v>103</v>
      </c>
      <c r="L96" s="149">
        <v>325</v>
      </c>
      <c r="M96" s="149">
        <v>156</v>
      </c>
      <c r="N96" s="148">
        <v>45.3</v>
      </c>
      <c r="O96" s="150" t="s">
        <v>573</v>
      </c>
      <c r="P96" s="149">
        <v>35.5</v>
      </c>
      <c r="Q96" s="149">
        <v>171</v>
      </c>
      <c r="R96" s="149">
        <v>180</v>
      </c>
      <c r="S96" s="149">
        <v>6</v>
      </c>
      <c r="T96" s="149">
        <v>9.5</v>
      </c>
      <c r="U96" s="149">
        <v>15</v>
      </c>
      <c r="V96" s="149">
        <v>122</v>
      </c>
      <c r="W96" s="149">
        <v>9.4700000000000006</v>
      </c>
      <c r="X96" s="149">
        <v>20.3</v>
      </c>
      <c r="Y96" s="149">
        <v>2510</v>
      </c>
      <c r="Z96" s="149">
        <v>925</v>
      </c>
      <c r="AA96" s="149">
        <v>7.45</v>
      </c>
      <c r="AB96" s="149">
        <v>4.5199999999999996</v>
      </c>
      <c r="AC96" s="149">
        <v>294</v>
      </c>
      <c r="AD96" s="149">
        <v>103</v>
      </c>
      <c r="AE96" s="149">
        <v>325</v>
      </c>
      <c r="AF96" s="149">
        <v>156</v>
      </c>
      <c r="AG96" s="149">
        <v>0.84099999999999997</v>
      </c>
      <c r="AH96" s="149">
        <v>15.9</v>
      </c>
      <c r="AI96" s="149">
        <v>0.06</v>
      </c>
      <c r="AJ96" s="149">
        <v>14.9</v>
      </c>
      <c r="AK96" s="148">
        <v>45.3</v>
      </c>
    </row>
    <row r="97" spans="1:37">
      <c r="A97" s="150" t="s">
        <v>572</v>
      </c>
      <c r="B97" s="149">
        <v>180</v>
      </c>
      <c r="C97" s="149">
        <v>180</v>
      </c>
      <c r="D97" s="149">
        <v>8.5</v>
      </c>
      <c r="E97" s="149">
        <v>14</v>
      </c>
      <c r="F97" s="149">
        <v>15</v>
      </c>
      <c r="G97" s="149">
        <v>122</v>
      </c>
      <c r="H97" s="149">
        <v>3831</v>
      </c>
      <c r="I97" s="149">
        <v>1363</v>
      </c>
      <c r="J97" s="149">
        <v>426</v>
      </c>
      <c r="K97" s="149">
        <v>151</v>
      </c>
      <c r="L97" s="149">
        <v>481</v>
      </c>
      <c r="M97" s="149">
        <v>231</v>
      </c>
      <c r="N97" s="148">
        <v>65.3</v>
      </c>
      <c r="O97" s="150" t="s">
        <v>572</v>
      </c>
      <c r="P97" s="149">
        <v>51.2</v>
      </c>
      <c r="Q97" s="149">
        <v>180</v>
      </c>
      <c r="R97" s="149">
        <v>180</v>
      </c>
      <c r="S97" s="149">
        <v>8.5</v>
      </c>
      <c r="T97" s="149">
        <v>14</v>
      </c>
      <c r="U97" s="149">
        <v>15</v>
      </c>
      <c r="V97" s="149">
        <v>122</v>
      </c>
      <c r="W97" s="149">
        <v>6.43</v>
      </c>
      <c r="X97" s="149">
        <v>14.4</v>
      </c>
      <c r="Y97" s="149">
        <v>3831</v>
      </c>
      <c r="Z97" s="149">
        <v>1363</v>
      </c>
      <c r="AA97" s="149">
        <v>7.66</v>
      </c>
      <c r="AB97" s="149">
        <v>4.57</v>
      </c>
      <c r="AC97" s="149">
        <v>426</v>
      </c>
      <c r="AD97" s="149">
        <v>151</v>
      </c>
      <c r="AE97" s="149">
        <v>481</v>
      </c>
      <c r="AF97" s="149">
        <v>231</v>
      </c>
      <c r="AG97" s="149">
        <v>0.84499999999999997</v>
      </c>
      <c r="AH97" s="149">
        <v>11.7</v>
      </c>
      <c r="AI97" s="149">
        <v>9.4E-2</v>
      </c>
      <c r="AJ97" s="149">
        <v>42.2</v>
      </c>
      <c r="AK97" s="148">
        <v>65.3</v>
      </c>
    </row>
    <row r="98" spans="1:37">
      <c r="A98" s="147" t="s">
        <v>571</v>
      </c>
      <c r="B98" s="146">
        <v>200</v>
      </c>
      <c r="C98" s="146">
        <v>186</v>
      </c>
      <c r="D98" s="146">
        <v>14.5</v>
      </c>
      <c r="E98" s="146">
        <v>24</v>
      </c>
      <c r="F98" s="146">
        <v>15</v>
      </c>
      <c r="G98" s="146">
        <v>122</v>
      </c>
      <c r="H98" s="146">
        <v>7483</v>
      </c>
      <c r="I98" s="146">
        <v>2580</v>
      </c>
      <c r="J98" s="146">
        <v>748</v>
      </c>
      <c r="K98" s="146">
        <v>277</v>
      </c>
      <c r="L98" s="146">
        <v>883</v>
      </c>
      <c r="M98" s="146">
        <v>425</v>
      </c>
      <c r="N98" s="145">
        <v>113</v>
      </c>
      <c r="O98" s="147" t="s">
        <v>571</v>
      </c>
      <c r="P98" s="146">
        <v>88.9</v>
      </c>
      <c r="Q98" s="146">
        <v>200</v>
      </c>
      <c r="R98" s="146">
        <v>186</v>
      </c>
      <c r="S98" s="146">
        <v>14.5</v>
      </c>
      <c r="T98" s="146">
        <v>24</v>
      </c>
      <c r="U98" s="146">
        <v>15</v>
      </c>
      <c r="V98" s="146">
        <v>122</v>
      </c>
      <c r="W98" s="146">
        <v>3.88</v>
      </c>
      <c r="X98" s="146">
        <v>8.41</v>
      </c>
      <c r="Y98" s="146">
        <v>7483</v>
      </c>
      <c r="Z98" s="146">
        <v>2580</v>
      </c>
      <c r="AA98" s="146">
        <v>8.1300000000000008</v>
      </c>
      <c r="AB98" s="146">
        <v>4.7699999999999996</v>
      </c>
      <c r="AC98" s="146">
        <v>748</v>
      </c>
      <c r="AD98" s="146">
        <v>277</v>
      </c>
      <c r="AE98" s="146">
        <v>883</v>
      </c>
      <c r="AF98" s="146">
        <v>425</v>
      </c>
      <c r="AG98" s="146">
        <v>0.84699999999999998</v>
      </c>
      <c r="AH98" s="146">
        <v>7.47</v>
      </c>
      <c r="AI98" s="146">
        <v>0.2</v>
      </c>
      <c r="AJ98" s="146">
        <v>201</v>
      </c>
      <c r="AK98" s="145">
        <v>113</v>
      </c>
    </row>
    <row r="99" spans="1:37">
      <c r="A99" s="150" t="s">
        <v>570</v>
      </c>
      <c r="B99" s="149">
        <v>186</v>
      </c>
      <c r="C99" s="149">
        <v>200</v>
      </c>
      <c r="D99" s="149">
        <v>5.5</v>
      </c>
      <c r="E99" s="149">
        <v>8</v>
      </c>
      <c r="F99" s="149">
        <v>18</v>
      </c>
      <c r="G99" s="149">
        <v>134</v>
      </c>
      <c r="H99" s="149">
        <v>2944</v>
      </c>
      <c r="I99" s="149">
        <v>1068</v>
      </c>
      <c r="J99" s="149">
        <v>317</v>
      </c>
      <c r="K99" s="149">
        <v>107</v>
      </c>
      <c r="L99" s="149">
        <v>347</v>
      </c>
      <c r="M99" s="149">
        <v>163</v>
      </c>
      <c r="N99" s="148">
        <v>44.1</v>
      </c>
      <c r="O99" s="150" t="s">
        <v>570</v>
      </c>
      <c r="P99" s="149">
        <v>34.6</v>
      </c>
      <c r="Q99" s="149">
        <v>186</v>
      </c>
      <c r="R99" s="149">
        <v>200</v>
      </c>
      <c r="S99" s="149">
        <v>5.5</v>
      </c>
      <c r="T99" s="149">
        <v>8</v>
      </c>
      <c r="U99" s="149">
        <v>18</v>
      </c>
      <c r="V99" s="149">
        <v>134</v>
      </c>
      <c r="W99" s="149">
        <v>12.5</v>
      </c>
      <c r="X99" s="149">
        <v>24.4</v>
      </c>
      <c r="Y99" s="149">
        <v>2944</v>
      </c>
      <c r="Z99" s="149">
        <v>1068</v>
      </c>
      <c r="AA99" s="149">
        <v>8.17</v>
      </c>
      <c r="AB99" s="149">
        <v>4.92</v>
      </c>
      <c r="AC99" s="149">
        <v>317</v>
      </c>
      <c r="AD99" s="149">
        <v>107</v>
      </c>
      <c r="AE99" s="149">
        <v>347</v>
      </c>
      <c r="AF99" s="149">
        <v>163</v>
      </c>
      <c r="AG99" s="149">
        <v>0.84</v>
      </c>
      <c r="AH99" s="149">
        <v>18.899999999999999</v>
      </c>
      <c r="AI99" s="149">
        <v>8.5000000000000006E-2</v>
      </c>
      <c r="AJ99" s="149">
        <v>12.5</v>
      </c>
      <c r="AK99" s="148">
        <v>44.1</v>
      </c>
    </row>
    <row r="100" spans="1:37">
      <c r="A100" s="150" t="s">
        <v>569</v>
      </c>
      <c r="B100" s="149">
        <v>190</v>
      </c>
      <c r="C100" s="149">
        <v>200</v>
      </c>
      <c r="D100" s="149">
        <v>6.5</v>
      </c>
      <c r="E100" s="149">
        <v>10</v>
      </c>
      <c r="F100" s="149">
        <v>18</v>
      </c>
      <c r="G100" s="149">
        <v>134</v>
      </c>
      <c r="H100" s="149">
        <v>3692</v>
      </c>
      <c r="I100" s="149">
        <v>1336</v>
      </c>
      <c r="J100" s="149">
        <v>389</v>
      </c>
      <c r="K100" s="149">
        <v>134</v>
      </c>
      <c r="L100" s="149">
        <v>429</v>
      </c>
      <c r="M100" s="149">
        <v>204</v>
      </c>
      <c r="N100" s="148">
        <v>53.8</v>
      </c>
      <c r="O100" s="150" t="s">
        <v>569</v>
      </c>
      <c r="P100" s="149">
        <v>42.3</v>
      </c>
      <c r="Q100" s="149">
        <v>190</v>
      </c>
      <c r="R100" s="149">
        <v>200</v>
      </c>
      <c r="S100" s="149">
        <v>6.5</v>
      </c>
      <c r="T100" s="149">
        <v>10</v>
      </c>
      <c r="U100" s="149">
        <v>18</v>
      </c>
      <c r="V100" s="149">
        <v>134</v>
      </c>
      <c r="W100" s="149">
        <v>10</v>
      </c>
      <c r="X100" s="149">
        <v>20.6</v>
      </c>
      <c r="Y100" s="149">
        <v>3692</v>
      </c>
      <c r="Z100" s="149">
        <v>1336</v>
      </c>
      <c r="AA100" s="149">
        <v>8.2799999999999994</v>
      </c>
      <c r="AB100" s="149">
        <v>4.9800000000000004</v>
      </c>
      <c r="AC100" s="149">
        <v>389</v>
      </c>
      <c r="AD100" s="149">
        <v>134</v>
      </c>
      <c r="AE100" s="149">
        <v>429</v>
      </c>
      <c r="AF100" s="149">
        <v>204</v>
      </c>
      <c r="AG100" s="149">
        <v>0.84199999999999997</v>
      </c>
      <c r="AH100" s="149">
        <v>16.3</v>
      </c>
      <c r="AI100" s="149">
        <v>0.108</v>
      </c>
      <c r="AJ100" s="149">
        <v>21</v>
      </c>
      <c r="AK100" s="148">
        <v>53.8</v>
      </c>
    </row>
    <row r="101" spans="1:37">
      <c r="A101" s="150" t="s">
        <v>568</v>
      </c>
      <c r="B101" s="149">
        <v>200</v>
      </c>
      <c r="C101" s="149">
        <v>200</v>
      </c>
      <c r="D101" s="149">
        <v>9</v>
      </c>
      <c r="E101" s="149">
        <v>15</v>
      </c>
      <c r="F101" s="149">
        <v>18</v>
      </c>
      <c r="G101" s="149">
        <v>134</v>
      </c>
      <c r="H101" s="149">
        <v>5696</v>
      </c>
      <c r="I101" s="149">
        <v>2003</v>
      </c>
      <c r="J101" s="149">
        <v>570</v>
      </c>
      <c r="K101" s="149">
        <v>200</v>
      </c>
      <c r="L101" s="149">
        <v>643</v>
      </c>
      <c r="M101" s="149">
        <v>306</v>
      </c>
      <c r="N101" s="148">
        <v>78.099999999999994</v>
      </c>
      <c r="O101" s="150" t="s">
        <v>568</v>
      </c>
      <c r="P101" s="149">
        <v>61.3</v>
      </c>
      <c r="Q101" s="149">
        <v>200</v>
      </c>
      <c r="R101" s="149">
        <v>200</v>
      </c>
      <c r="S101" s="149">
        <v>9</v>
      </c>
      <c r="T101" s="149">
        <v>15</v>
      </c>
      <c r="U101" s="149">
        <v>18</v>
      </c>
      <c r="V101" s="149">
        <v>134</v>
      </c>
      <c r="W101" s="149">
        <v>6.67</v>
      </c>
      <c r="X101" s="149">
        <v>14.9</v>
      </c>
      <c r="Y101" s="149">
        <v>5696</v>
      </c>
      <c r="Z101" s="149">
        <v>2003</v>
      </c>
      <c r="AA101" s="149">
        <v>8.5399999999999991</v>
      </c>
      <c r="AB101" s="149">
        <v>5.07</v>
      </c>
      <c r="AC101" s="149">
        <v>570</v>
      </c>
      <c r="AD101" s="149">
        <v>200</v>
      </c>
      <c r="AE101" s="149">
        <v>643</v>
      </c>
      <c r="AF101" s="149">
        <v>306</v>
      </c>
      <c r="AG101" s="149">
        <v>0.84599999999999997</v>
      </c>
      <c r="AH101" s="149">
        <v>12</v>
      </c>
      <c r="AI101" s="149">
        <v>0.17100000000000001</v>
      </c>
      <c r="AJ101" s="149">
        <v>59.7</v>
      </c>
      <c r="AK101" s="148">
        <v>78.099999999999994</v>
      </c>
    </row>
    <row r="102" spans="1:37">
      <c r="A102" s="147" t="s">
        <v>567</v>
      </c>
      <c r="B102" s="146">
        <v>220</v>
      </c>
      <c r="C102" s="146">
        <v>206</v>
      </c>
      <c r="D102" s="146">
        <v>15</v>
      </c>
      <c r="E102" s="146">
        <v>25</v>
      </c>
      <c r="F102" s="146">
        <v>18</v>
      </c>
      <c r="G102" s="146">
        <v>134</v>
      </c>
      <c r="H102" s="146">
        <v>10640</v>
      </c>
      <c r="I102" s="146">
        <v>3651</v>
      </c>
      <c r="J102" s="146">
        <v>967</v>
      </c>
      <c r="K102" s="146">
        <v>354</v>
      </c>
      <c r="L102" s="146">
        <v>1135</v>
      </c>
      <c r="M102" s="146">
        <v>543</v>
      </c>
      <c r="N102" s="145">
        <v>131</v>
      </c>
      <c r="O102" s="147" t="s">
        <v>567</v>
      </c>
      <c r="P102" s="146">
        <v>103.1</v>
      </c>
      <c r="Q102" s="146">
        <v>220</v>
      </c>
      <c r="R102" s="146">
        <v>206</v>
      </c>
      <c r="S102" s="146">
        <v>15</v>
      </c>
      <c r="T102" s="146">
        <v>25</v>
      </c>
      <c r="U102" s="146">
        <v>18</v>
      </c>
      <c r="V102" s="146">
        <v>134</v>
      </c>
      <c r="W102" s="146">
        <v>4.12</v>
      </c>
      <c r="X102" s="146">
        <v>8.93</v>
      </c>
      <c r="Y102" s="146">
        <v>10640</v>
      </c>
      <c r="Z102" s="146">
        <v>3651</v>
      </c>
      <c r="AA102" s="146">
        <v>9</v>
      </c>
      <c r="AB102" s="146">
        <v>5.27</v>
      </c>
      <c r="AC102" s="146">
        <v>967</v>
      </c>
      <c r="AD102" s="146">
        <v>354</v>
      </c>
      <c r="AE102" s="146">
        <v>1135</v>
      </c>
      <c r="AF102" s="146">
        <v>543</v>
      </c>
      <c r="AG102" s="146">
        <v>0.84799999999999998</v>
      </c>
      <c r="AH102" s="146">
        <v>7.88</v>
      </c>
      <c r="AI102" s="146">
        <v>0.34699999999999998</v>
      </c>
      <c r="AJ102" s="146">
        <v>258</v>
      </c>
      <c r="AK102" s="145">
        <v>131</v>
      </c>
    </row>
    <row r="103" spans="1:37">
      <c r="A103" s="150" t="s">
        <v>566</v>
      </c>
      <c r="B103" s="149">
        <v>205</v>
      </c>
      <c r="C103" s="149">
        <v>220</v>
      </c>
      <c r="D103" s="149">
        <v>6</v>
      </c>
      <c r="E103" s="149">
        <v>8.5</v>
      </c>
      <c r="F103" s="149">
        <v>18</v>
      </c>
      <c r="G103" s="149">
        <v>152</v>
      </c>
      <c r="H103" s="149">
        <v>4170</v>
      </c>
      <c r="I103" s="149">
        <v>1510</v>
      </c>
      <c r="J103" s="149">
        <v>407</v>
      </c>
      <c r="K103" s="149">
        <v>137</v>
      </c>
      <c r="L103" s="149">
        <v>445</v>
      </c>
      <c r="M103" s="149">
        <v>209</v>
      </c>
      <c r="N103" s="148">
        <v>51.5</v>
      </c>
      <c r="O103" s="150" t="s">
        <v>566</v>
      </c>
      <c r="P103" s="149">
        <v>40.4</v>
      </c>
      <c r="Q103" s="149">
        <v>205</v>
      </c>
      <c r="R103" s="149">
        <v>220</v>
      </c>
      <c r="S103" s="149">
        <v>6</v>
      </c>
      <c r="T103" s="149">
        <v>8.5</v>
      </c>
      <c r="U103" s="149">
        <v>18</v>
      </c>
      <c r="V103" s="149">
        <v>152</v>
      </c>
      <c r="W103" s="149">
        <v>12.9</v>
      </c>
      <c r="X103" s="149">
        <v>25.3</v>
      </c>
      <c r="Y103" s="149">
        <v>4170</v>
      </c>
      <c r="Z103" s="149">
        <v>1510</v>
      </c>
      <c r="AA103" s="149">
        <v>9</v>
      </c>
      <c r="AB103" s="149">
        <v>5.42</v>
      </c>
      <c r="AC103" s="149">
        <v>407</v>
      </c>
      <c r="AD103" s="149">
        <v>137</v>
      </c>
      <c r="AE103" s="149">
        <v>445</v>
      </c>
      <c r="AF103" s="149">
        <v>209</v>
      </c>
      <c r="AG103" s="149">
        <v>0.83899999999999997</v>
      </c>
      <c r="AH103" s="149">
        <v>20.2</v>
      </c>
      <c r="AI103" s="149">
        <v>0.14599999999999999</v>
      </c>
      <c r="AJ103" s="149">
        <v>15.5</v>
      </c>
      <c r="AK103" s="148">
        <v>51.5</v>
      </c>
    </row>
    <row r="104" spans="1:37">
      <c r="A104" s="150" t="s">
        <v>565</v>
      </c>
      <c r="B104" s="149">
        <v>210</v>
      </c>
      <c r="C104" s="149">
        <v>220</v>
      </c>
      <c r="D104" s="149">
        <v>7</v>
      </c>
      <c r="E104" s="149">
        <v>11</v>
      </c>
      <c r="F104" s="149">
        <v>18</v>
      </c>
      <c r="G104" s="149">
        <v>152</v>
      </c>
      <c r="H104" s="149">
        <v>5410</v>
      </c>
      <c r="I104" s="149">
        <v>1955</v>
      </c>
      <c r="J104" s="149">
        <v>515</v>
      </c>
      <c r="K104" s="149">
        <v>178</v>
      </c>
      <c r="L104" s="149">
        <v>568</v>
      </c>
      <c r="M104" s="149">
        <v>271</v>
      </c>
      <c r="N104" s="148">
        <v>64.3</v>
      </c>
      <c r="O104" s="150" t="s">
        <v>565</v>
      </c>
      <c r="P104" s="149">
        <v>50.5</v>
      </c>
      <c r="Q104" s="149">
        <v>210</v>
      </c>
      <c r="R104" s="149">
        <v>220</v>
      </c>
      <c r="S104" s="149">
        <v>7</v>
      </c>
      <c r="T104" s="149">
        <v>11</v>
      </c>
      <c r="U104" s="149">
        <v>18</v>
      </c>
      <c r="V104" s="149">
        <v>152</v>
      </c>
      <c r="W104" s="149">
        <v>10</v>
      </c>
      <c r="X104" s="149">
        <v>21.7</v>
      </c>
      <c r="Y104" s="149">
        <v>5410</v>
      </c>
      <c r="Z104" s="149">
        <v>1955</v>
      </c>
      <c r="AA104" s="149">
        <v>9.17</v>
      </c>
      <c r="AB104" s="149">
        <v>5.51</v>
      </c>
      <c r="AC104" s="149">
        <v>515</v>
      </c>
      <c r="AD104" s="149">
        <v>178</v>
      </c>
      <c r="AE104" s="149">
        <v>568</v>
      </c>
      <c r="AF104" s="149">
        <v>271</v>
      </c>
      <c r="AG104" s="149">
        <v>0.84199999999999997</v>
      </c>
      <c r="AH104" s="149">
        <v>16.899999999999999</v>
      </c>
      <c r="AI104" s="149">
        <v>0.19400000000000001</v>
      </c>
      <c r="AJ104" s="149">
        <v>28.6</v>
      </c>
      <c r="AK104" s="148">
        <v>64.3</v>
      </c>
    </row>
    <row r="105" spans="1:37">
      <c r="A105" s="150" t="s">
        <v>564</v>
      </c>
      <c r="B105" s="149">
        <v>220</v>
      </c>
      <c r="C105" s="149">
        <v>220</v>
      </c>
      <c r="D105" s="149">
        <v>9.5</v>
      </c>
      <c r="E105" s="149">
        <v>16</v>
      </c>
      <c r="F105" s="149">
        <v>18</v>
      </c>
      <c r="G105" s="149">
        <v>152</v>
      </c>
      <c r="H105" s="149">
        <v>8091</v>
      </c>
      <c r="I105" s="149">
        <v>2843</v>
      </c>
      <c r="J105" s="149">
        <v>736</v>
      </c>
      <c r="K105" s="149">
        <v>258</v>
      </c>
      <c r="L105" s="149">
        <v>827</v>
      </c>
      <c r="M105" s="149">
        <v>394</v>
      </c>
      <c r="N105" s="148">
        <v>91</v>
      </c>
      <c r="O105" s="150" t="s">
        <v>564</v>
      </c>
      <c r="P105" s="149">
        <v>71.5</v>
      </c>
      <c r="Q105" s="149">
        <v>220</v>
      </c>
      <c r="R105" s="149">
        <v>220</v>
      </c>
      <c r="S105" s="149">
        <v>9.5</v>
      </c>
      <c r="T105" s="149">
        <v>16</v>
      </c>
      <c r="U105" s="149">
        <v>18</v>
      </c>
      <c r="V105" s="149">
        <v>152</v>
      </c>
      <c r="W105" s="149">
        <v>6.88</v>
      </c>
      <c r="X105" s="149">
        <v>16</v>
      </c>
      <c r="Y105" s="149">
        <v>8091</v>
      </c>
      <c r="Z105" s="149">
        <v>2843</v>
      </c>
      <c r="AA105" s="149">
        <v>9.43</v>
      </c>
      <c r="AB105" s="149">
        <v>5.59</v>
      </c>
      <c r="AC105" s="149">
        <v>736</v>
      </c>
      <c r="AD105" s="149">
        <v>258</v>
      </c>
      <c r="AE105" s="149">
        <v>827</v>
      </c>
      <c r="AF105" s="149">
        <v>394</v>
      </c>
      <c r="AG105" s="149">
        <v>0.84699999999999998</v>
      </c>
      <c r="AH105" s="149">
        <v>12.6</v>
      </c>
      <c r="AI105" s="149">
        <v>0.29599999999999999</v>
      </c>
      <c r="AJ105" s="149">
        <v>77</v>
      </c>
      <c r="AK105" s="148">
        <v>91</v>
      </c>
    </row>
    <row r="106" spans="1:37">
      <c r="A106" s="147" t="s">
        <v>563</v>
      </c>
      <c r="B106" s="146">
        <v>240</v>
      </c>
      <c r="C106" s="146">
        <v>226</v>
      </c>
      <c r="D106" s="146">
        <v>15.5</v>
      </c>
      <c r="E106" s="146">
        <v>26</v>
      </c>
      <c r="F106" s="146">
        <v>18</v>
      </c>
      <c r="G106" s="146">
        <v>152</v>
      </c>
      <c r="H106" s="146">
        <v>14600</v>
      </c>
      <c r="I106" s="146">
        <v>5012</v>
      </c>
      <c r="J106" s="146">
        <v>1217</v>
      </c>
      <c r="K106" s="146">
        <v>444</v>
      </c>
      <c r="L106" s="146">
        <v>1419</v>
      </c>
      <c r="M106" s="146">
        <v>679</v>
      </c>
      <c r="N106" s="145">
        <v>149</v>
      </c>
      <c r="O106" s="147" t="s">
        <v>563</v>
      </c>
      <c r="P106" s="146">
        <v>117.3</v>
      </c>
      <c r="Q106" s="146">
        <v>240</v>
      </c>
      <c r="R106" s="146">
        <v>226</v>
      </c>
      <c r="S106" s="146">
        <v>15.5</v>
      </c>
      <c r="T106" s="146">
        <v>26</v>
      </c>
      <c r="U106" s="146">
        <v>18</v>
      </c>
      <c r="V106" s="146">
        <v>152</v>
      </c>
      <c r="W106" s="146">
        <v>4.3499999999999996</v>
      </c>
      <c r="X106" s="146">
        <v>9.81</v>
      </c>
      <c r="Y106" s="146">
        <v>14600</v>
      </c>
      <c r="Z106" s="146">
        <v>5012</v>
      </c>
      <c r="AA106" s="146">
        <v>9.89</v>
      </c>
      <c r="AB106" s="146">
        <v>5.79</v>
      </c>
      <c r="AC106" s="146">
        <v>1217</v>
      </c>
      <c r="AD106" s="146">
        <v>444</v>
      </c>
      <c r="AE106" s="146">
        <v>1419</v>
      </c>
      <c r="AF106" s="146">
        <v>679</v>
      </c>
      <c r="AG106" s="146">
        <v>0.84799999999999998</v>
      </c>
      <c r="AH106" s="146">
        <v>8.3699999999999992</v>
      </c>
      <c r="AI106" s="146">
        <v>0.57399999999999995</v>
      </c>
      <c r="AJ106" s="146">
        <v>313</v>
      </c>
      <c r="AK106" s="145">
        <v>149</v>
      </c>
    </row>
    <row r="107" spans="1:37">
      <c r="A107" s="150" t="s">
        <v>562</v>
      </c>
      <c r="B107" s="149">
        <v>224</v>
      </c>
      <c r="C107" s="149">
        <v>240</v>
      </c>
      <c r="D107" s="149">
        <v>6.5</v>
      </c>
      <c r="E107" s="149">
        <v>9</v>
      </c>
      <c r="F107" s="149">
        <v>21</v>
      </c>
      <c r="G107" s="149">
        <v>164</v>
      </c>
      <c r="H107" s="149">
        <v>5835</v>
      </c>
      <c r="I107" s="149">
        <v>2077</v>
      </c>
      <c r="J107" s="149">
        <v>521</v>
      </c>
      <c r="K107" s="149">
        <v>173</v>
      </c>
      <c r="L107" s="149">
        <v>571</v>
      </c>
      <c r="M107" s="149">
        <v>264</v>
      </c>
      <c r="N107" s="148">
        <v>60.4</v>
      </c>
      <c r="O107" s="150" t="s">
        <v>562</v>
      </c>
      <c r="P107" s="149">
        <v>47.4</v>
      </c>
      <c r="Q107" s="149">
        <v>224</v>
      </c>
      <c r="R107" s="149">
        <v>240</v>
      </c>
      <c r="S107" s="149">
        <v>6.5</v>
      </c>
      <c r="T107" s="149">
        <v>9</v>
      </c>
      <c r="U107" s="149">
        <v>21</v>
      </c>
      <c r="V107" s="149">
        <v>164</v>
      </c>
      <c r="W107" s="149">
        <v>13.3</v>
      </c>
      <c r="X107" s="149">
        <v>25.2</v>
      </c>
      <c r="Y107" s="149">
        <v>5835</v>
      </c>
      <c r="Z107" s="149">
        <v>2077</v>
      </c>
      <c r="AA107" s="149">
        <v>9.83</v>
      </c>
      <c r="AB107" s="149">
        <v>5.87</v>
      </c>
      <c r="AC107" s="149">
        <v>521</v>
      </c>
      <c r="AD107" s="149">
        <v>173</v>
      </c>
      <c r="AE107" s="149">
        <v>571</v>
      </c>
      <c r="AF107" s="149">
        <v>264</v>
      </c>
      <c r="AG107" s="149">
        <v>0.84</v>
      </c>
      <c r="AH107" s="149">
        <v>20.100000000000001</v>
      </c>
      <c r="AI107" s="149">
        <v>0.24</v>
      </c>
      <c r="AJ107" s="149">
        <v>22.1</v>
      </c>
      <c r="AK107" s="148">
        <v>60.4</v>
      </c>
    </row>
    <row r="108" spans="1:37">
      <c r="A108" s="150" t="s">
        <v>561</v>
      </c>
      <c r="B108" s="149">
        <v>230</v>
      </c>
      <c r="C108" s="149">
        <v>240</v>
      </c>
      <c r="D108" s="149">
        <v>7.5</v>
      </c>
      <c r="E108" s="149">
        <v>12</v>
      </c>
      <c r="F108" s="149">
        <v>21</v>
      </c>
      <c r="G108" s="149">
        <v>164</v>
      </c>
      <c r="H108" s="149">
        <v>7763</v>
      </c>
      <c r="I108" s="149">
        <v>2769</v>
      </c>
      <c r="J108" s="149">
        <v>675</v>
      </c>
      <c r="K108" s="149">
        <v>231</v>
      </c>
      <c r="L108" s="149">
        <v>745</v>
      </c>
      <c r="M108" s="149">
        <v>352</v>
      </c>
      <c r="N108" s="148">
        <v>76.8</v>
      </c>
      <c r="O108" s="150" t="s">
        <v>561</v>
      </c>
      <c r="P108" s="149">
        <v>60.3</v>
      </c>
      <c r="Q108" s="149">
        <v>230</v>
      </c>
      <c r="R108" s="149">
        <v>240</v>
      </c>
      <c r="S108" s="149">
        <v>7.5</v>
      </c>
      <c r="T108" s="149">
        <v>12</v>
      </c>
      <c r="U108" s="149">
        <v>21</v>
      </c>
      <c r="V108" s="149">
        <v>164</v>
      </c>
      <c r="W108" s="149">
        <v>10</v>
      </c>
      <c r="X108" s="149">
        <v>21.9</v>
      </c>
      <c r="Y108" s="149">
        <v>7763</v>
      </c>
      <c r="Z108" s="149">
        <v>2769</v>
      </c>
      <c r="AA108" s="149">
        <v>10.1</v>
      </c>
      <c r="AB108" s="149">
        <v>6</v>
      </c>
      <c r="AC108" s="149">
        <v>675</v>
      </c>
      <c r="AD108" s="149">
        <v>231</v>
      </c>
      <c r="AE108" s="149">
        <v>745</v>
      </c>
      <c r="AF108" s="149">
        <v>352</v>
      </c>
      <c r="AG108" s="149">
        <v>0.84399999999999997</v>
      </c>
      <c r="AH108" s="149">
        <v>16.7</v>
      </c>
      <c r="AI108" s="149">
        <v>0.32900000000000001</v>
      </c>
      <c r="AJ108" s="149">
        <v>42.1</v>
      </c>
      <c r="AK108" s="148">
        <v>76.8</v>
      </c>
    </row>
    <row r="109" spans="1:37">
      <c r="A109" s="150" t="s">
        <v>560</v>
      </c>
      <c r="B109" s="149">
        <v>240</v>
      </c>
      <c r="C109" s="149">
        <v>240</v>
      </c>
      <c r="D109" s="149">
        <v>10</v>
      </c>
      <c r="E109" s="149">
        <v>17</v>
      </c>
      <c r="F109" s="149">
        <v>21</v>
      </c>
      <c r="G109" s="149">
        <v>164</v>
      </c>
      <c r="H109" s="149">
        <v>11260</v>
      </c>
      <c r="I109" s="149">
        <v>3923</v>
      </c>
      <c r="J109" s="149">
        <v>938</v>
      </c>
      <c r="K109" s="149">
        <v>327</v>
      </c>
      <c r="L109" s="149">
        <v>1053</v>
      </c>
      <c r="M109" s="149">
        <v>498</v>
      </c>
      <c r="N109" s="148">
        <v>106</v>
      </c>
      <c r="O109" s="150" t="s">
        <v>560</v>
      </c>
      <c r="P109" s="149">
        <v>83.2</v>
      </c>
      <c r="Q109" s="149">
        <v>240</v>
      </c>
      <c r="R109" s="149">
        <v>240</v>
      </c>
      <c r="S109" s="149">
        <v>10</v>
      </c>
      <c r="T109" s="149">
        <v>17</v>
      </c>
      <c r="U109" s="149">
        <v>21</v>
      </c>
      <c r="V109" s="149">
        <v>164</v>
      </c>
      <c r="W109" s="149">
        <v>7.06</v>
      </c>
      <c r="X109" s="149">
        <v>16.399999999999999</v>
      </c>
      <c r="Y109" s="149">
        <v>11260</v>
      </c>
      <c r="Z109" s="149">
        <v>3923</v>
      </c>
      <c r="AA109" s="149">
        <v>10.3</v>
      </c>
      <c r="AB109" s="149">
        <v>6.08</v>
      </c>
      <c r="AC109" s="149">
        <v>938</v>
      </c>
      <c r="AD109" s="149">
        <v>327</v>
      </c>
      <c r="AE109" s="149">
        <v>1053</v>
      </c>
      <c r="AF109" s="149">
        <v>498</v>
      </c>
      <c r="AG109" s="149">
        <v>0.84799999999999998</v>
      </c>
      <c r="AH109" s="149">
        <v>12.7</v>
      </c>
      <c r="AI109" s="149">
        <v>0.48799999999999999</v>
      </c>
      <c r="AJ109" s="149">
        <v>104</v>
      </c>
      <c r="AK109" s="148">
        <v>106</v>
      </c>
    </row>
    <row r="110" spans="1:37">
      <c r="A110" s="147" t="s">
        <v>559</v>
      </c>
      <c r="B110" s="146">
        <v>270</v>
      </c>
      <c r="C110" s="146">
        <v>248</v>
      </c>
      <c r="D110" s="146">
        <v>18</v>
      </c>
      <c r="E110" s="146">
        <v>32</v>
      </c>
      <c r="F110" s="146">
        <v>21</v>
      </c>
      <c r="G110" s="146">
        <v>164</v>
      </c>
      <c r="H110" s="146">
        <v>24290</v>
      </c>
      <c r="I110" s="146">
        <v>8153</v>
      </c>
      <c r="J110" s="146">
        <v>1799</v>
      </c>
      <c r="K110" s="146">
        <v>657</v>
      </c>
      <c r="L110" s="146">
        <v>2117</v>
      </c>
      <c r="M110" s="146">
        <v>1006</v>
      </c>
      <c r="N110" s="145">
        <v>200</v>
      </c>
      <c r="O110" s="147" t="s">
        <v>559</v>
      </c>
      <c r="P110" s="146">
        <v>156.69999999999999</v>
      </c>
      <c r="Q110" s="146">
        <v>270</v>
      </c>
      <c r="R110" s="146">
        <v>248</v>
      </c>
      <c r="S110" s="146">
        <v>18</v>
      </c>
      <c r="T110" s="146">
        <v>32</v>
      </c>
      <c r="U110" s="146">
        <v>21</v>
      </c>
      <c r="V110" s="146">
        <v>164</v>
      </c>
      <c r="W110" s="146">
        <v>3.88</v>
      </c>
      <c r="X110" s="146">
        <v>9.11</v>
      </c>
      <c r="Y110" s="146">
        <v>24290</v>
      </c>
      <c r="Z110" s="146">
        <v>8153</v>
      </c>
      <c r="AA110" s="146">
        <v>11</v>
      </c>
      <c r="AB110" s="146">
        <v>6.39</v>
      </c>
      <c r="AC110" s="146">
        <v>1799</v>
      </c>
      <c r="AD110" s="146">
        <v>657</v>
      </c>
      <c r="AE110" s="146">
        <v>2117</v>
      </c>
      <c r="AF110" s="146">
        <v>1006</v>
      </c>
      <c r="AG110" s="146">
        <v>0.85199999999999998</v>
      </c>
      <c r="AH110" s="146">
        <v>7.61</v>
      </c>
      <c r="AI110" s="146">
        <v>1.1499999999999999</v>
      </c>
      <c r="AJ110" s="146">
        <v>626</v>
      </c>
      <c r="AK110" s="145">
        <v>200</v>
      </c>
    </row>
    <row r="111" spans="1:37">
      <c r="A111" s="150" t="s">
        <v>558</v>
      </c>
      <c r="B111" s="149">
        <v>244</v>
      </c>
      <c r="C111" s="149">
        <v>260</v>
      </c>
      <c r="D111" s="149">
        <v>6.5</v>
      </c>
      <c r="E111" s="149">
        <v>9.5</v>
      </c>
      <c r="F111" s="149">
        <v>24</v>
      </c>
      <c r="G111" s="149">
        <v>177</v>
      </c>
      <c r="H111" s="149">
        <v>7981</v>
      </c>
      <c r="I111" s="149">
        <v>2788</v>
      </c>
      <c r="J111" s="149">
        <v>654</v>
      </c>
      <c r="K111" s="149">
        <v>214</v>
      </c>
      <c r="L111" s="149">
        <v>714</v>
      </c>
      <c r="M111" s="149">
        <v>328</v>
      </c>
      <c r="N111" s="148">
        <v>69</v>
      </c>
      <c r="O111" s="150" t="s">
        <v>558</v>
      </c>
      <c r="P111" s="149">
        <v>54.1</v>
      </c>
      <c r="Q111" s="149">
        <v>244</v>
      </c>
      <c r="R111" s="149">
        <v>260</v>
      </c>
      <c r="S111" s="149">
        <v>6.5</v>
      </c>
      <c r="T111" s="149">
        <v>9.5</v>
      </c>
      <c r="U111" s="149">
        <v>24</v>
      </c>
      <c r="V111" s="149">
        <v>177</v>
      </c>
      <c r="W111" s="149">
        <v>13.7</v>
      </c>
      <c r="X111" s="149">
        <v>27.2</v>
      </c>
      <c r="Y111" s="149">
        <v>7981</v>
      </c>
      <c r="Z111" s="149">
        <v>2788</v>
      </c>
      <c r="AA111" s="149">
        <v>10.8</v>
      </c>
      <c r="AB111" s="149">
        <v>6.36</v>
      </c>
      <c r="AC111" s="149">
        <v>654</v>
      </c>
      <c r="AD111" s="149">
        <v>214</v>
      </c>
      <c r="AE111" s="149">
        <v>714</v>
      </c>
      <c r="AF111" s="149">
        <v>328</v>
      </c>
      <c r="AG111" s="149">
        <v>0.84399999999999997</v>
      </c>
      <c r="AH111" s="149">
        <v>20.100000000000001</v>
      </c>
      <c r="AI111" s="149">
        <v>0.38300000000000001</v>
      </c>
      <c r="AJ111" s="149">
        <v>30.1</v>
      </c>
      <c r="AK111" s="148">
        <v>69</v>
      </c>
    </row>
    <row r="112" spans="1:37">
      <c r="A112" s="150" t="s">
        <v>557</v>
      </c>
      <c r="B112" s="149">
        <v>250</v>
      </c>
      <c r="C112" s="149">
        <v>260</v>
      </c>
      <c r="D112" s="149">
        <v>7.5</v>
      </c>
      <c r="E112" s="149">
        <v>12.5</v>
      </c>
      <c r="F112" s="149">
        <v>24</v>
      </c>
      <c r="G112" s="149">
        <v>177</v>
      </c>
      <c r="H112" s="149">
        <v>10450</v>
      </c>
      <c r="I112" s="149">
        <v>3668</v>
      </c>
      <c r="J112" s="149">
        <v>836</v>
      </c>
      <c r="K112" s="149">
        <v>282</v>
      </c>
      <c r="L112" s="149">
        <v>920</v>
      </c>
      <c r="M112" s="149">
        <v>430</v>
      </c>
      <c r="N112" s="148">
        <v>86.8</v>
      </c>
      <c r="O112" s="150" t="s">
        <v>557</v>
      </c>
      <c r="P112" s="149">
        <v>68.2</v>
      </c>
      <c r="Q112" s="149">
        <v>250</v>
      </c>
      <c r="R112" s="149">
        <v>260</v>
      </c>
      <c r="S112" s="149">
        <v>7.5</v>
      </c>
      <c r="T112" s="149">
        <v>12.5</v>
      </c>
      <c r="U112" s="149">
        <v>24</v>
      </c>
      <c r="V112" s="149">
        <v>177</v>
      </c>
      <c r="W112" s="149">
        <v>10.4</v>
      </c>
      <c r="X112" s="149">
        <v>23.6</v>
      </c>
      <c r="Y112" s="149">
        <v>10450</v>
      </c>
      <c r="Z112" s="149">
        <v>3668</v>
      </c>
      <c r="AA112" s="149">
        <v>11</v>
      </c>
      <c r="AB112" s="149">
        <v>6.5</v>
      </c>
      <c r="AC112" s="149">
        <v>836</v>
      </c>
      <c r="AD112" s="149">
        <v>282</v>
      </c>
      <c r="AE112" s="149">
        <v>920</v>
      </c>
      <c r="AF112" s="149">
        <v>430</v>
      </c>
      <c r="AG112" s="149">
        <v>0.84799999999999998</v>
      </c>
      <c r="AH112" s="149">
        <v>17</v>
      </c>
      <c r="AI112" s="149">
        <v>0.51700000000000002</v>
      </c>
      <c r="AJ112" s="149">
        <v>54.2</v>
      </c>
      <c r="AK112" s="148">
        <v>86.8</v>
      </c>
    </row>
    <row r="113" spans="1:37">
      <c r="A113" s="150" t="s">
        <v>556</v>
      </c>
      <c r="B113" s="149">
        <v>260</v>
      </c>
      <c r="C113" s="149">
        <v>260</v>
      </c>
      <c r="D113" s="149">
        <v>10</v>
      </c>
      <c r="E113" s="149">
        <v>17.5</v>
      </c>
      <c r="F113" s="149">
        <v>24</v>
      </c>
      <c r="G113" s="149">
        <v>177</v>
      </c>
      <c r="H113" s="149">
        <v>14920</v>
      </c>
      <c r="I113" s="149">
        <v>5135</v>
      </c>
      <c r="J113" s="149">
        <v>1148</v>
      </c>
      <c r="K113" s="149">
        <v>395</v>
      </c>
      <c r="L113" s="149">
        <v>1283</v>
      </c>
      <c r="M113" s="149">
        <v>602</v>
      </c>
      <c r="N113" s="148">
        <v>118</v>
      </c>
      <c r="O113" s="150" t="s">
        <v>556</v>
      </c>
      <c r="P113" s="149">
        <v>93</v>
      </c>
      <c r="Q113" s="149">
        <v>260</v>
      </c>
      <c r="R113" s="149">
        <v>260</v>
      </c>
      <c r="S113" s="149">
        <v>10</v>
      </c>
      <c r="T113" s="149">
        <v>17.5</v>
      </c>
      <c r="U113" s="149">
        <v>24</v>
      </c>
      <c r="V113" s="149">
        <v>177</v>
      </c>
      <c r="W113" s="149">
        <v>7.43</v>
      </c>
      <c r="X113" s="149">
        <v>17.7</v>
      </c>
      <c r="Y113" s="149">
        <v>14920</v>
      </c>
      <c r="Z113" s="149">
        <v>5135</v>
      </c>
      <c r="AA113" s="149">
        <v>11.2</v>
      </c>
      <c r="AB113" s="149">
        <v>6.58</v>
      </c>
      <c r="AC113" s="149">
        <v>1148</v>
      </c>
      <c r="AD113" s="149">
        <v>395</v>
      </c>
      <c r="AE113" s="149">
        <v>1283</v>
      </c>
      <c r="AF113" s="149">
        <v>602</v>
      </c>
      <c r="AG113" s="149">
        <v>0.85099999999999998</v>
      </c>
      <c r="AH113" s="149">
        <v>13.3</v>
      </c>
      <c r="AI113" s="149">
        <v>0.755</v>
      </c>
      <c r="AJ113" s="149">
        <v>127</v>
      </c>
      <c r="AK113" s="148">
        <v>118</v>
      </c>
    </row>
    <row r="114" spans="1:37">
      <c r="A114" s="147" t="s">
        <v>555</v>
      </c>
      <c r="B114" s="146">
        <v>290</v>
      </c>
      <c r="C114" s="146">
        <v>268</v>
      </c>
      <c r="D114" s="146">
        <v>18</v>
      </c>
      <c r="E114" s="146">
        <v>32.5</v>
      </c>
      <c r="F114" s="146">
        <v>24</v>
      </c>
      <c r="G114" s="146">
        <v>177</v>
      </c>
      <c r="H114" s="146">
        <v>31310</v>
      </c>
      <c r="I114" s="146">
        <v>10450</v>
      </c>
      <c r="J114" s="146">
        <v>2159</v>
      </c>
      <c r="K114" s="146">
        <v>780</v>
      </c>
      <c r="L114" s="146">
        <v>2524</v>
      </c>
      <c r="M114" s="146">
        <v>1192</v>
      </c>
      <c r="N114" s="145">
        <v>220</v>
      </c>
      <c r="O114" s="147" t="s">
        <v>555</v>
      </c>
      <c r="P114" s="146">
        <v>172.4</v>
      </c>
      <c r="Q114" s="146">
        <v>290</v>
      </c>
      <c r="R114" s="146">
        <v>268</v>
      </c>
      <c r="S114" s="146">
        <v>18</v>
      </c>
      <c r="T114" s="146">
        <v>32.5</v>
      </c>
      <c r="U114" s="146">
        <v>24</v>
      </c>
      <c r="V114" s="146">
        <v>177</v>
      </c>
      <c r="W114" s="146">
        <v>4.12</v>
      </c>
      <c r="X114" s="146">
        <v>9.83</v>
      </c>
      <c r="Y114" s="146">
        <v>31310</v>
      </c>
      <c r="Z114" s="146">
        <v>10450</v>
      </c>
      <c r="AA114" s="146">
        <v>11.9</v>
      </c>
      <c r="AB114" s="146">
        <v>6.9</v>
      </c>
      <c r="AC114" s="146">
        <v>2159</v>
      </c>
      <c r="AD114" s="146">
        <v>780</v>
      </c>
      <c r="AE114" s="146">
        <v>2524</v>
      </c>
      <c r="AF114" s="146">
        <v>1192</v>
      </c>
      <c r="AG114" s="146">
        <v>0.85299999999999998</v>
      </c>
      <c r="AH114" s="146">
        <v>8.0500000000000007</v>
      </c>
      <c r="AI114" s="146">
        <v>1.73</v>
      </c>
      <c r="AJ114" s="146">
        <v>720</v>
      </c>
      <c r="AK114" s="145">
        <v>220</v>
      </c>
    </row>
    <row r="115" spans="1:37">
      <c r="A115" s="150" t="s">
        <v>554</v>
      </c>
      <c r="B115" s="149">
        <v>264</v>
      </c>
      <c r="C115" s="149">
        <v>280</v>
      </c>
      <c r="D115" s="149">
        <v>7</v>
      </c>
      <c r="E115" s="149">
        <v>10</v>
      </c>
      <c r="F115" s="149">
        <v>24</v>
      </c>
      <c r="G115" s="149">
        <v>196</v>
      </c>
      <c r="H115" s="149">
        <v>10560</v>
      </c>
      <c r="I115" s="149">
        <v>3664</v>
      </c>
      <c r="J115" s="149">
        <v>800</v>
      </c>
      <c r="K115" s="149">
        <v>262</v>
      </c>
      <c r="L115" s="149">
        <v>873</v>
      </c>
      <c r="M115" s="149">
        <v>399</v>
      </c>
      <c r="N115" s="148">
        <v>78</v>
      </c>
      <c r="O115" s="150" t="s">
        <v>554</v>
      </c>
      <c r="P115" s="149">
        <v>61.2</v>
      </c>
      <c r="Q115" s="149">
        <v>264</v>
      </c>
      <c r="R115" s="149">
        <v>280</v>
      </c>
      <c r="S115" s="149">
        <v>7</v>
      </c>
      <c r="T115" s="149">
        <v>10</v>
      </c>
      <c r="U115" s="149">
        <v>24</v>
      </c>
      <c r="V115" s="149">
        <v>196</v>
      </c>
      <c r="W115" s="149">
        <v>14</v>
      </c>
      <c r="X115" s="149">
        <v>28</v>
      </c>
      <c r="Y115" s="149">
        <v>10560</v>
      </c>
      <c r="Z115" s="149">
        <v>3664</v>
      </c>
      <c r="AA115" s="149">
        <v>11.6</v>
      </c>
      <c r="AB115" s="149">
        <v>6.85</v>
      </c>
      <c r="AC115" s="149">
        <v>800</v>
      </c>
      <c r="AD115" s="149">
        <v>262</v>
      </c>
      <c r="AE115" s="149">
        <v>873</v>
      </c>
      <c r="AF115" s="149">
        <v>399</v>
      </c>
      <c r="AG115" s="149">
        <v>0.84399999999999997</v>
      </c>
      <c r="AH115" s="149">
        <v>21.3</v>
      </c>
      <c r="AI115" s="149">
        <v>0.59099999999999997</v>
      </c>
      <c r="AJ115" s="149">
        <v>35.5</v>
      </c>
      <c r="AK115" s="148">
        <v>78</v>
      </c>
    </row>
    <row r="116" spans="1:37">
      <c r="A116" s="150" t="s">
        <v>553</v>
      </c>
      <c r="B116" s="149">
        <v>270</v>
      </c>
      <c r="C116" s="149">
        <v>280</v>
      </c>
      <c r="D116" s="149">
        <v>8</v>
      </c>
      <c r="E116" s="149">
        <v>13</v>
      </c>
      <c r="F116" s="149">
        <v>24</v>
      </c>
      <c r="G116" s="149">
        <v>196</v>
      </c>
      <c r="H116" s="149">
        <v>13670</v>
      </c>
      <c r="I116" s="149">
        <v>4763</v>
      </c>
      <c r="J116" s="149">
        <v>1013</v>
      </c>
      <c r="K116" s="149">
        <v>340</v>
      </c>
      <c r="L116" s="149">
        <v>1112</v>
      </c>
      <c r="M116" s="149">
        <v>518</v>
      </c>
      <c r="N116" s="148">
        <v>97.3</v>
      </c>
      <c r="O116" s="150" t="s">
        <v>553</v>
      </c>
      <c r="P116" s="149">
        <v>76.400000000000006</v>
      </c>
      <c r="Q116" s="149">
        <v>270</v>
      </c>
      <c r="R116" s="149">
        <v>280</v>
      </c>
      <c r="S116" s="149">
        <v>8</v>
      </c>
      <c r="T116" s="149">
        <v>13</v>
      </c>
      <c r="U116" s="149">
        <v>24</v>
      </c>
      <c r="V116" s="149">
        <v>196</v>
      </c>
      <c r="W116" s="149">
        <v>10.8</v>
      </c>
      <c r="X116" s="149">
        <v>24.5</v>
      </c>
      <c r="Y116" s="149">
        <v>13670</v>
      </c>
      <c r="Z116" s="149">
        <v>4763</v>
      </c>
      <c r="AA116" s="149">
        <v>11.9</v>
      </c>
      <c r="AB116" s="149">
        <v>7</v>
      </c>
      <c r="AC116" s="149">
        <v>1013</v>
      </c>
      <c r="AD116" s="149">
        <v>340</v>
      </c>
      <c r="AE116" s="149">
        <v>1112</v>
      </c>
      <c r="AF116" s="149">
        <v>518</v>
      </c>
      <c r="AG116" s="149">
        <v>0.84799999999999998</v>
      </c>
      <c r="AH116" s="149">
        <v>18</v>
      </c>
      <c r="AI116" s="149">
        <v>0.78600000000000003</v>
      </c>
      <c r="AJ116" s="149">
        <v>63.5</v>
      </c>
      <c r="AK116" s="148">
        <v>97.3</v>
      </c>
    </row>
    <row r="117" spans="1:37">
      <c r="A117" s="150" t="s">
        <v>552</v>
      </c>
      <c r="B117" s="149">
        <v>280</v>
      </c>
      <c r="C117" s="149">
        <v>280</v>
      </c>
      <c r="D117" s="149">
        <v>10.5</v>
      </c>
      <c r="E117" s="149">
        <v>18</v>
      </c>
      <c r="F117" s="149">
        <v>24</v>
      </c>
      <c r="G117" s="149">
        <v>196</v>
      </c>
      <c r="H117" s="149">
        <v>19270</v>
      </c>
      <c r="I117" s="149">
        <v>6595</v>
      </c>
      <c r="J117" s="149">
        <v>1376</v>
      </c>
      <c r="K117" s="149">
        <v>471</v>
      </c>
      <c r="L117" s="149">
        <v>1534</v>
      </c>
      <c r="M117" s="149">
        <v>718</v>
      </c>
      <c r="N117" s="148">
        <v>131</v>
      </c>
      <c r="O117" s="150" t="s">
        <v>552</v>
      </c>
      <c r="P117" s="149">
        <v>103.1</v>
      </c>
      <c r="Q117" s="149">
        <v>280</v>
      </c>
      <c r="R117" s="149">
        <v>280</v>
      </c>
      <c r="S117" s="149">
        <v>10.5</v>
      </c>
      <c r="T117" s="149">
        <v>18</v>
      </c>
      <c r="U117" s="149">
        <v>24</v>
      </c>
      <c r="V117" s="149">
        <v>196</v>
      </c>
      <c r="W117" s="149">
        <v>7.78</v>
      </c>
      <c r="X117" s="149">
        <v>18.7</v>
      </c>
      <c r="Y117" s="149">
        <v>19270</v>
      </c>
      <c r="Z117" s="149">
        <v>6595</v>
      </c>
      <c r="AA117" s="149">
        <v>12.1</v>
      </c>
      <c r="AB117" s="149">
        <v>7.09</v>
      </c>
      <c r="AC117" s="149">
        <v>1376</v>
      </c>
      <c r="AD117" s="149">
        <v>471</v>
      </c>
      <c r="AE117" s="149">
        <v>1534</v>
      </c>
      <c r="AF117" s="149">
        <v>718</v>
      </c>
      <c r="AG117" s="149">
        <v>0.85</v>
      </c>
      <c r="AH117" s="149">
        <v>14.1</v>
      </c>
      <c r="AI117" s="149">
        <v>1.1299999999999999</v>
      </c>
      <c r="AJ117" s="149">
        <v>146</v>
      </c>
      <c r="AK117" s="148">
        <v>131</v>
      </c>
    </row>
    <row r="118" spans="1:37">
      <c r="A118" s="147" t="s">
        <v>551</v>
      </c>
      <c r="B118" s="146">
        <v>310</v>
      </c>
      <c r="C118" s="146">
        <v>288</v>
      </c>
      <c r="D118" s="146">
        <v>18.5</v>
      </c>
      <c r="E118" s="146">
        <v>33</v>
      </c>
      <c r="F118" s="146">
        <v>24</v>
      </c>
      <c r="G118" s="146">
        <v>196</v>
      </c>
      <c r="H118" s="146">
        <v>39550</v>
      </c>
      <c r="I118" s="146">
        <v>13160</v>
      </c>
      <c r="J118" s="146">
        <v>2551</v>
      </c>
      <c r="K118" s="146">
        <v>914</v>
      </c>
      <c r="L118" s="146">
        <v>2966</v>
      </c>
      <c r="M118" s="146">
        <v>1397</v>
      </c>
      <c r="N118" s="145">
        <v>240</v>
      </c>
      <c r="O118" s="147" t="s">
        <v>551</v>
      </c>
      <c r="P118" s="146">
        <v>188.5</v>
      </c>
      <c r="Q118" s="146">
        <v>310</v>
      </c>
      <c r="R118" s="146">
        <v>288</v>
      </c>
      <c r="S118" s="146">
        <v>18.5</v>
      </c>
      <c r="T118" s="146">
        <v>33</v>
      </c>
      <c r="U118" s="146">
        <v>24</v>
      </c>
      <c r="V118" s="146">
        <v>196</v>
      </c>
      <c r="W118" s="146">
        <v>4.3600000000000003</v>
      </c>
      <c r="X118" s="146">
        <v>10.6</v>
      </c>
      <c r="Y118" s="146">
        <v>39550</v>
      </c>
      <c r="Z118" s="146">
        <v>13160</v>
      </c>
      <c r="AA118" s="146">
        <v>12.8</v>
      </c>
      <c r="AB118" s="146">
        <v>7.4</v>
      </c>
      <c r="AC118" s="146">
        <v>2551</v>
      </c>
      <c r="AD118" s="146">
        <v>914</v>
      </c>
      <c r="AE118" s="146">
        <v>2966</v>
      </c>
      <c r="AF118" s="146">
        <v>1397</v>
      </c>
      <c r="AG118" s="146">
        <v>0.85299999999999998</v>
      </c>
      <c r="AH118" s="146">
        <v>8.5500000000000007</v>
      </c>
      <c r="AI118" s="146">
        <v>2.52</v>
      </c>
      <c r="AJ118" s="146">
        <v>807</v>
      </c>
      <c r="AK118" s="145">
        <v>240</v>
      </c>
    </row>
    <row r="119" spans="1:37">
      <c r="A119" s="150" t="s">
        <v>550</v>
      </c>
      <c r="B119" s="149">
        <v>283</v>
      </c>
      <c r="C119" s="149">
        <v>300</v>
      </c>
      <c r="D119" s="149">
        <v>7.5</v>
      </c>
      <c r="E119" s="149">
        <v>10.5</v>
      </c>
      <c r="F119" s="149">
        <v>27</v>
      </c>
      <c r="G119" s="149">
        <v>208</v>
      </c>
      <c r="H119" s="149">
        <v>13800</v>
      </c>
      <c r="I119" s="149">
        <v>4734</v>
      </c>
      <c r="J119" s="149">
        <v>976</v>
      </c>
      <c r="K119" s="149">
        <v>316</v>
      </c>
      <c r="L119" s="149">
        <v>1065</v>
      </c>
      <c r="M119" s="149">
        <v>482</v>
      </c>
      <c r="N119" s="148">
        <v>88.9</v>
      </c>
      <c r="O119" s="150" t="s">
        <v>550</v>
      </c>
      <c r="P119" s="149">
        <v>69.8</v>
      </c>
      <c r="Q119" s="149">
        <v>283</v>
      </c>
      <c r="R119" s="149">
        <v>300</v>
      </c>
      <c r="S119" s="149">
        <v>7.5</v>
      </c>
      <c r="T119" s="149">
        <v>10.5</v>
      </c>
      <c r="U119" s="149">
        <v>27</v>
      </c>
      <c r="V119" s="149">
        <v>208</v>
      </c>
      <c r="W119" s="149">
        <v>14.3</v>
      </c>
      <c r="X119" s="149">
        <v>27.7</v>
      </c>
      <c r="Y119" s="149">
        <v>13800</v>
      </c>
      <c r="Z119" s="149">
        <v>4734</v>
      </c>
      <c r="AA119" s="149">
        <v>12.5</v>
      </c>
      <c r="AB119" s="149">
        <v>7.3</v>
      </c>
      <c r="AC119" s="149">
        <v>976</v>
      </c>
      <c r="AD119" s="149">
        <v>316</v>
      </c>
      <c r="AE119" s="149">
        <v>1065</v>
      </c>
      <c r="AF119" s="149">
        <v>482</v>
      </c>
      <c r="AG119" s="149">
        <v>0.84399999999999997</v>
      </c>
      <c r="AH119" s="149">
        <v>21</v>
      </c>
      <c r="AI119" s="149">
        <v>0.879</v>
      </c>
      <c r="AJ119" s="149">
        <v>47.8</v>
      </c>
      <c r="AK119" s="148">
        <v>88.9</v>
      </c>
    </row>
    <row r="120" spans="1:37">
      <c r="A120" s="150" t="s">
        <v>549</v>
      </c>
      <c r="B120" s="149">
        <v>290</v>
      </c>
      <c r="C120" s="149">
        <v>300</v>
      </c>
      <c r="D120" s="149">
        <v>8.5</v>
      </c>
      <c r="E120" s="149">
        <v>14</v>
      </c>
      <c r="F120" s="149">
        <v>27</v>
      </c>
      <c r="G120" s="149">
        <v>208</v>
      </c>
      <c r="H120" s="149">
        <v>18260</v>
      </c>
      <c r="I120" s="149">
        <v>6310</v>
      </c>
      <c r="J120" s="149">
        <v>1260</v>
      </c>
      <c r="K120" s="149">
        <v>421</v>
      </c>
      <c r="L120" s="149">
        <v>1383</v>
      </c>
      <c r="M120" s="149">
        <v>641</v>
      </c>
      <c r="N120" s="148">
        <v>113</v>
      </c>
      <c r="O120" s="150" t="s">
        <v>549</v>
      </c>
      <c r="P120" s="149">
        <v>88.3</v>
      </c>
      <c r="Q120" s="149">
        <v>290</v>
      </c>
      <c r="R120" s="149">
        <v>300</v>
      </c>
      <c r="S120" s="149">
        <v>8.5</v>
      </c>
      <c r="T120" s="149">
        <v>14</v>
      </c>
      <c r="U120" s="149">
        <v>27</v>
      </c>
      <c r="V120" s="149">
        <v>208</v>
      </c>
      <c r="W120" s="149">
        <v>10.7</v>
      </c>
      <c r="X120" s="149">
        <v>24.5</v>
      </c>
      <c r="Y120" s="149">
        <v>18260</v>
      </c>
      <c r="Z120" s="149">
        <v>6310</v>
      </c>
      <c r="AA120" s="149">
        <v>12.7</v>
      </c>
      <c r="AB120" s="149">
        <v>7.49</v>
      </c>
      <c r="AC120" s="149">
        <v>1260</v>
      </c>
      <c r="AD120" s="149">
        <v>421</v>
      </c>
      <c r="AE120" s="149">
        <v>1383</v>
      </c>
      <c r="AF120" s="149">
        <v>641</v>
      </c>
      <c r="AG120" s="149">
        <v>0.84899999999999998</v>
      </c>
      <c r="AH120" s="149">
        <v>17.7</v>
      </c>
      <c r="AI120" s="149">
        <v>1.2</v>
      </c>
      <c r="AJ120" s="149">
        <v>87.8</v>
      </c>
      <c r="AK120" s="148">
        <v>113</v>
      </c>
    </row>
    <row r="121" spans="1:37">
      <c r="A121" s="150" t="s">
        <v>548</v>
      </c>
      <c r="B121" s="149">
        <v>300</v>
      </c>
      <c r="C121" s="149">
        <v>300</v>
      </c>
      <c r="D121" s="149">
        <v>11</v>
      </c>
      <c r="E121" s="149">
        <v>19</v>
      </c>
      <c r="F121" s="149">
        <v>27</v>
      </c>
      <c r="G121" s="149">
        <v>208</v>
      </c>
      <c r="H121" s="149">
        <v>25170</v>
      </c>
      <c r="I121" s="149">
        <v>8563</v>
      </c>
      <c r="J121" s="149">
        <v>1678</v>
      </c>
      <c r="K121" s="149">
        <v>571</v>
      </c>
      <c r="L121" s="149">
        <v>1869</v>
      </c>
      <c r="M121" s="149">
        <v>870</v>
      </c>
      <c r="N121" s="148">
        <v>149</v>
      </c>
      <c r="O121" s="150" t="s">
        <v>548</v>
      </c>
      <c r="P121" s="149">
        <v>117</v>
      </c>
      <c r="Q121" s="149">
        <v>300</v>
      </c>
      <c r="R121" s="149">
        <v>300</v>
      </c>
      <c r="S121" s="149">
        <v>11</v>
      </c>
      <c r="T121" s="149">
        <v>19</v>
      </c>
      <c r="U121" s="149">
        <v>27</v>
      </c>
      <c r="V121" s="149">
        <v>208</v>
      </c>
      <c r="W121" s="149">
        <v>7.89</v>
      </c>
      <c r="X121" s="149">
        <v>18.899999999999999</v>
      </c>
      <c r="Y121" s="149">
        <v>25170</v>
      </c>
      <c r="Z121" s="149">
        <v>8563</v>
      </c>
      <c r="AA121" s="149">
        <v>13</v>
      </c>
      <c r="AB121" s="149">
        <v>7.58</v>
      </c>
      <c r="AC121" s="149">
        <v>1678</v>
      </c>
      <c r="AD121" s="149">
        <v>571</v>
      </c>
      <c r="AE121" s="149">
        <v>1869</v>
      </c>
      <c r="AF121" s="149">
        <v>870</v>
      </c>
      <c r="AG121" s="149">
        <v>0.85099999999999998</v>
      </c>
      <c r="AH121" s="149">
        <v>14.1</v>
      </c>
      <c r="AI121" s="149">
        <v>1.69</v>
      </c>
      <c r="AJ121" s="149">
        <v>189</v>
      </c>
      <c r="AK121" s="148">
        <v>149</v>
      </c>
    </row>
    <row r="122" spans="1:37">
      <c r="A122" s="150" t="s">
        <v>547</v>
      </c>
      <c r="B122" s="149">
        <v>320</v>
      </c>
      <c r="C122" s="149">
        <v>305</v>
      </c>
      <c r="D122" s="149">
        <v>16</v>
      </c>
      <c r="E122" s="149">
        <v>29</v>
      </c>
      <c r="F122" s="149">
        <v>27</v>
      </c>
      <c r="G122" s="149">
        <v>208</v>
      </c>
      <c r="H122" s="149">
        <v>40950</v>
      </c>
      <c r="I122" s="149">
        <v>13740</v>
      </c>
      <c r="J122" s="149">
        <v>2559</v>
      </c>
      <c r="K122" s="149">
        <v>901</v>
      </c>
      <c r="L122" s="149">
        <v>2927</v>
      </c>
      <c r="M122" s="149">
        <v>1374</v>
      </c>
      <c r="N122" s="148">
        <v>225</v>
      </c>
      <c r="O122" s="150" t="s">
        <v>547</v>
      </c>
      <c r="P122" s="149">
        <v>176.7</v>
      </c>
      <c r="Q122" s="149">
        <v>320</v>
      </c>
      <c r="R122" s="149">
        <v>305</v>
      </c>
      <c r="S122" s="149">
        <v>16</v>
      </c>
      <c r="T122" s="149">
        <v>29</v>
      </c>
      <c r="U122" s="149">
        <v>27</v>
      </c>
      <c r="V122" s="149">
        <v>208</v>
      </c>
      <c r="W122" s="149">
        <v>5.26</v>
      </c>
      <c r="X122" s="149">
        <v>13</v>
      </c>
      <c r="Y122" s="149">
        <v>40950</v>
      </c>
      <c r="Z122" s="149">
        <v>13740</v>
      </c>
      <c r="AA122" s="149">
        <v>13.5</v>
      </c>
      <c r="AB122" s="149">
        <v>7.81</v>
      </c>
      <c r="AC122" s="149">
        <v>2559</v>
      </c>
      <c r="AD122" s="149">
        <v>901</v>
      </c>
      <c r="AE122" s="149">
        <v>2927</v>
      </c>
      <c r="AF122" s="149">
        <v>1374</v>
      </c>
      <c r="AG122" s="149">
        <v>0.85399999999999998</v>
      </c>
      <c r="AH122" s="149">
        <v>10.1</v>
      </c>
      <c r="AI122" s="149">
        <v>2.91</v>
      </c>
      <c r="AJ122" s="149">
        <v>604</v>
      </c>
      <c r="AK122" s="148">
        <v>225</v>
      </c>
    </row>
    <row r="123" spans="1:37">
      <c r="A123" s="147" t="s">
        <v>546</v>
      </c>
      <c r="B123" s="146">
        <v>340</v>
      </c>
      <c r="C123" s="146">
        <v>310</v>
      </c>
      <c r="D123" s="146">
        <v>21</v>
      </c>
      <c r="E123" s="146">
        <v>39</v>
      </c>
      <c r="F123" s="146">
        <v>27</v>
      </c>
      <c r="G123" s="146">
        <v>208</v>
      </c>
      <c r="H123" s="146">
        <v>59200</v>
      </c>
      <c r="I123" s="146">
        <v>19400</v>
      </c>
      <c r="J123" s="146">
        <v>3482</v>
      </c>
      <c r="K123" s="146">
        <v>1252</v>
      </c>
      <c r="L123" s="146">
        <v>4078</v>
      </c>
      <c r="M123" s="146">
        <v>1913</v>
      </c>
      <c r="N123" s="145">
        <v>303</v>
      </c>
      <c r="O123" s="147" t="s">
        <v>546</v>
      </c>
      <c r="P123" s="146">
        <v>237.9</v>
      </c>
      <c r="Q123" s="146">
        <v>340</v>
      </c>
      <c r="R123" s="146">
        <v>310</v>
      </c>
      <c r="S123" s="146">
        <v>21</v>
      </c>
      <c r="T123" s="146">
        <v>39</v>
      </c>
      <c r="U123" s="146">
        <v>27</v>
      </c>
      <c r="V123" s="146">
        <v>208</v>
      </c>
      <c r="W123" s="146">
        <v>3.97</v>
      </c>
      <c r="X123" s="146">
        <v>9.9</v>
      </c>
      <c r="Y123" s="146">
        <v>59200</v>
      </c>
      <c r="Z123" s="146">
        <v>19400</v>
      </c>
      <c r="AA123" s="146">
        <v>14</v>
      </c>
      <c r="AB123" s="146">
        <v>8</v>
      </c>
      <c r="AC123" s="146">
        <v>3482</v>
      </c>
      <c r="AD123" s="146">
        <v>1252</v>
      </c>
      <c r="AE123" s="146">
        <v>4078</v>
      </c>
      <c r="AF123" s="146">
        <v>1913</v>
      </c>
      <c r="AG123" s="146">
        <v>0.85599999999999998</v>
      </c>
      <c r="AH123" s="146">
        <v>7.9</v>
      </c>
      <c r="AI123" s="146">
        <v>4.3899999999999997</v>
      </c>
      <c r="AJ123" s="146">
        <v>1411</v>
      </c>
      <c r="AK123" s="145">
        <v>303</v>
      </c>
    </row>
    <row r="124" spans="1:37">
      <c r="A124" s="150" t="s">
        <v>545</v>
      </c>
      <c r="B124" s="149">
        <v>301</v>
      </c>
      <c r="C124" s="149">
        <v>300</v>
      </c>
      <c r="D124" s="149">
        <v>8</v>
      </c>
      <c r="E124" s="149">
        <v>11</v>
      </c>
      <c r="F124" s="149">
        <v>27</v>
      </c>
      <c r="G124" s="149">
        <v>225</v>
      </c>
      <c r="H124" s="149">
        <v>16450</v>
      </c>
      <c r="I124" s="149">
        <v>4959</v>
      </c>
      <c r="J124" s="149">
        <v>1093</v>
      </c>
      <c r="K124" s="149">
        <v>331</v>
      </c>
      <c r="L124" s="149">
        <v>1196</v>
      </c>
      <c r="M124" s="149">
        <v>506</v>
      </c>
      <c r="N124" s="148">
        <v>94.6</v>
      </c>
      <c r="O124" s="150" t="s">
        <v>545</v>
      </c>
      <c r="P124" s="149">
        <v>74.2</v>
      </c>
      <c r="Q124" s="149">
        <v>301</v>
      </c>
      <c r="R124" s="149">
        <v>300</v>
      </c>
      <c r="S124" s="149">
        <v>8</v>
      </c>
      <c r="T124" s="149">
        <v>11</v>
      </c>
      <c r="U124" s="149">
        <v>27</v>
      </c>
      <c r="V124" s="149">
        <v>225</v>
      </c>
      <c r="W124" s="149">
        <v>13.6</v>
      </c>
      <c r="X124" s="149">
        <v>28.1</v>
      </c>
      <c r="Y124" s="149">
        <v>16450</v>
      </c>
      <c r="Z124" s="149">
        <v>4959</v>
      </c>
      <c r="AA124" s="149">
        <v>13.2</v>
      </c>
      <c r="AB124" s="149">
        <v>7.24</v>
      </c>
      <c r="AC124" s="149">
        <v>1093</v>
      </c>
      <c r="AD124" s="149">
        <v>331</v>
      </c>
      <c r="AE124" s="149">
        <v>1196</v>
      </c>
      <c r="AF124" s="149">
        <v>506</v>
      </c>
      <c r="AG124" s="149">
        <v>0.85399999999999998</v>
      </c>
      <c r="AH124" s="149">
        <v>21.8</v>
      </c>
      <c r="AI124" s="149">
        <v>1.04</v>
      </c>
      <c r="AJ124" s="149">
        <v>53.6</v>
      </c>
      <c r="AK124" s="148">
        <v>94.6</v>
      </c>
    </row>
    <row r="125" spans="1:37">
      <c r="A125" s="150" t="s">
        <v>544</v>
      </c>
      <c r="B125" s="149">
        <v>310</v>
      </c>
      <c r="C125" s="149">
        <v>300</v>
      </c>
      <c r="D125" s="149">
        <v>9</v>
      </c>
      <c r="E125" s="149">
        <v>15.5</v>
      </c>
      <c r="F125" s="149">
        <v>27</v>
      </c>
      <c r="G125" s="149">
        <v>225</v>
      </c>
      <c r="H125" s="149">
        <v>22930</v>
      </c>
      <c r="I125" s="149">
        <v>6985</v>
      </c>
      <c r="J125" s="149">
        <v>1479</v>
      </c>
      <c r="K125" s="149">
        <v>466</v>
      </c>
      <c r="L125" s="149">
        <v>1628</v>
      </c>
      <c r="M125" s="149">
        <v>710</v>
      </c>
      <c r="N125" s="148">
        <v>124</v>
      </c>
      <c r="O125" s="150" t="s">
        <v>544</v>
      </c>
      <c r="P125" s="149">
        <v>97.6</v>
      </c>
      <c r="Q125" s="149">
        <v>310</v>
      </c>
      <c r="R125" s="149">
        <v>300</v>
      </c>
      <c r="S125" s="149">
        <v>9</v>
      </c>
      <c r="T125" s="149">
        <v>15.5</v>
      </c>
      <c r="U125" s="149">
        <v>27</v>
      </c>
      <c r="V125" s="149">
        <v>225</v>
      </c>
      <c r="W125" s="149">
        <v>9.68</v>
      </c>
      <c r="X125" s="149">
        <v>25</v>
      </c>
      <c r="Y125" s="149">
        <v>22930</v>
      </c>
      <c r="Z125" s="149">
        <v>6985</v>
      </c>
      <c r="AA125" s="149">
        <v>13.6</v>
      </c>
      <c r="AB125" s="149">
        <v>7.49</v>
      </c>
      <c r="AC125" s="149">
        <v>1479</v>
      </c>
      <c r="AD125" s="149">
        <v>466</v>
      </c>
      <c r="AE125" s="149">
        <v>1628</v>
      </c>
      <c r="AF125" s="149">
        <v>710</v>
      </c>
      <c r="AG125" s="149">
        <v>0.86099999999999999</v>
      </c>
      <c r="AH125" s="149">
        <v>17.600000000000001</v>
      </c>
      <c r="AI125" s="149">
        <v>1.51</v>
      </c>
      <c r="AJ125" s="149">
        <v>112</v>
      </c>
      <c r="AK125" s="148">
        <v>124</v>
      </c>
    </row>
    <row r="126" spans="1:37">
      <c r="A126" s="150" t="s">
        <v>543</v>
      </c>
      <c r="B126" s="149">
        <v>320</v>
      </c>
      <c r="C126" s="149">
        <v>300</v>
      </c>
      <c r="D126" s="149">
        <v>11.5</v>
      </c>
      <c r="E126" s="149">
        <v>20.5</v>
      </c>
      <c r="F126" s="149">
        <v>27</v>
      </c>
      <c r="G126" s="149">
        <v>225</v>
      </c>
      <c r="H126" s="149">
        <v>30820</v>
      </c>
      <c r="I126" s="149">
        <v>9239</v>
      </c>
      <c r="J126" s="149">
        <v>1926</v>
      </c>
      <c r="K126" s="149">
        <v>616</v>
      </c>
      <c r="L126" s="149">
        <v>2149</v>
      </c>
      <c r="M126" s="149">
        <v>939</v>
      </c>
      <c r="N126" s="148">
        <v>161</v>
      </c>
      <c r="O126" s="150" t="s">
        <v>543</v>
      </c>
      <c r="P126" s="149">
        <v>126.7</v>
      </c>
      <c r="Q126" s="149">
        <v>320</v>
      </c>
      <c r="R126" s="149">
        <v>300</v>
      </c>
      <c r="S126" s="149">
        <v>11.5</v>
      </c>
      <c r="T126" s="149">
        <v>20.5</v>
      </c>
      <c r="U126" s="149">
        <v>27</v>
      </c>
      <c r="V126" s="149">
        <v>225</v>
      </c>
      <c r="W126" s="149">
        <v>7.32</v>
      </c>
      <c r="X126" s="149">
        <v>19.600000000000001</v>
      </c>
      <c r="Y126" s="149">
        <v>30820</v>
      </c>
      <c r="Z126" s="149">
        <v>9239</v>
      </c>
      <c r="AA126" s="149">
        <v>13.8</v>
      </c>
      <c r="AB126" s="149">
        <v>7.57</v>
      </c>
      <c r="AC126" s="149">
        <v>1926</v>
      </c>
      <c r="AD126" s="149">
        <v>616</v>
      </c>
      <c r="AE126" s="149">
        <v>2149</v>
      </c>
      <c r="AF126" s="149">
        <v>939</v>
      </c>
      <c r="AG126" s="149">
        <v>0.86299999999999999</v>
      </c>
      <c r="AH126" s="149">
        <v>14.2</v>
      </c>
      <c r="AI126" s="149">
        <v>2.0699999999999998</v>
      </c>
      <c r="AJ126" s="149">
        <v>230</v>
      </c>
      <c r="AK126" s="148">
        <v>161</v>
      </c>
    </row>
    <row r="127" spans="1:37">
      <c r="A127" s="147" t="s">
        <v>542</v>
      </c>
      <c r="B127" s="146">
        <v>359</v>
      </c>
      <c r="C127" s="146">
        <v>309</v>
      </c>
      <c r="D127" s="146">
        <v>21</v>
      </c>
      <c r="E127" s="146">
        <v>40</v>
      </c>
      <c r="F127" s="146">
        <v>27</v>
      </c>
      <c r="G127" s="146">
        <v>225</v>
      </c>
      <c r="H127" s="146">
        <v>68130</v>
      </c>
      <c r="I127" s="146">
        <v>19710</v>
      </c>
      <c r="J127" s="146">
        <v>3796</v>
      </c>
      <c r="K127" s="146">
        <v>1276</v>
      </c>
      <c r="L127" s="146">
        <v>4435</v>
      </c>
      <c r="M127" s="146">
        <v>1951</v>
      </c>
      <c r="N127" s="145">
        <v>312</v>
      </c>
      <c r="O127" s="147" t="s">
        <v>542</v>
      </c>
      <c r="P127" s="146">
        <v>245</v>
      </c>
      <c r="Q127" s="146">
        <v>359</v>
      </c>
      <c r="R127" s="146">
        <v>309</v>
      </c>
      <c r="S127" s="146">
        <v>21</v>
      </c>
      <c r="T127" s="146">
        <v>40</v>
      </c>
      <c r="U127" s="146">
        <v>27</v>
      </c>
      <c r="V127" s="146">
        <v>225</v>
      </c>
      <c r="W127" s="146">
        <v>3.86</v>
      </c>
      <c r="X127" s="146">
        <v>10.7</v>
      </c>
      <c r="Y127" s="146">
        <v>68130</v>
      </c>
      <c r="Z127" s="146">
        <v>19710</v>
      </c>
      <c r="AA127" s="146">
        <v>14.8</v>
      </c>
      <c r="AB127" s="146">
        <v>7.95</v>
      </c>
      <c r="AC127" s="146">
        <v>3796</v>
      </c>
      <c r="AD127" s="146">
        <v>1276</v>
      </c>
      <c r="AE127" s="146">
        <v>4435</v>
      </c>
      <c r="AF127" s="146">
        <v>1951</v>
      </c>
      <c r="AG127" s="146">
        <v>0.86699999999999999</v>
      </c>
      <c r="AH127" s="146">
        <v>8.2200000000000006</v>
      </c>
      <c r="AI127" s="146">
        <v>5.01</v>
      </c>
      <c r="AJ127" s="146">
        <v>1506</v>
      </c>
      <c r="AK127" s="145">
        <v>312</v>
      </c>
    </row>
    <row r="128" spans="1:37">
      <c r="A128" s="150" t="s">
        <v>541</v>
      </c>
      <c r="B128" s="149">
        <v>320</v>
      </c>
      <c r="C128" s="149">
        <v>300</v>
      </c>
      <c r="D128" s="149">
        <v>8.5</v>
      </c>
      <c r="E128" s="149">
        <v>11.5</v>
      </c>
      <c r="F128" s="149">
        <v>27</v>
      </c>
      <c r="G128" s="149">
        <v>243</v>
      </c>
      <c r="H128" s="149">
        <v>19550</v>
      </c>
      <c r="I128" s="149">
        <v>5185</v>
      </c>
      <c r="J128" s="149">
        <v>1222</v>
      </c>
      <c r="K128" s="149">
        <v>346</v>
      </c>
      <c r="L128" s="149">
        <v>1341</v>
      </c>
      <c r="M128" s="149">
        <v>529</v>
      </c>
      <c r="N128" s="148">
        <v>101</v>
      </c>
      <c r="O128" s="150" t="s">
        <v>541</v>
      </c>
      <c r="P128" s="149">
        <v>78.900000000000006</v>
      </c>
      <c r="Q128" s="149">
        <v>320</v>
      </c>
      <c r="R128" s="149">
        <v>300</v>
      </c>
      <c r="S128" s="149">
        <v>8.5</v>
      </c>
      <c r="T128" s="149">
        <v>11.5</v>
      </c>
      <c r="U128" s="149">
        <v>27</v>
      </c>
      <c r="V128" s="149">
        <v>243</v>
      </c>
      <c r="W128" s="149">
        <v>13</v>
      </c>
      <c r="X128" s="149">
        <v>28.6</v>
      </c>
      <c r="Y128" s="149">
        <v>19550</v>
      </c>
      <c r="Z128" s="149">
        <v>5185</v>
      </c>
      <c r="AA128" s="149">
        <v>13.9</v>
      </c>
      <c r="AB128" s="149">
        <v>7.18</v>
      </c>
      <c r="AC128" s="149">
        <v>1222</v>
      </c>
      <c r="AD128" s="149">
        <v>346</v>
      </c>
      <c r="AE128" s="149">
        <v>1341</v>
      </c>
      <c r="AF128" s="149">
        <v>529</v>
      </c>
      <c r="AG128" s="149">
        <v>0.86099999999999999</v>
      </c>
      <c r="AH128" s="149">
        <v>22.6</v>
      </c>
      <c r="AI128" s="149">
        <v>1.23</v>
      </c>
      <c r="AJ128" s="149">
        <v>60</v>
      </c>
      <c r="AK128" s="148">
        <v>101</v>
      </c>
    </row>
    <row r="129" spans="1:37">
      <c r="A129" s="150" t="s">
        <v>540</v>
      </c>
      <c r="B129" s="149">
        <v>330</v>
      </c>
      <c r="C129" s="149">
        <v>300</v>
      </c>
      <c r="D129" s="149">
        <v>9.5</v>
      </c>
      <c r="E129" s="149">
        <v>16.5</v>
      </c>
      <c r="F129" s="149">
        <v>27</v>
      </c>
      <c r="G129" s="149">
        <v>243</v>
      </c>
      <c r="H129" s="149">
        <v>27690</v>
      </c>
      <c r="I129" s="149">
        <v>7436</v>
      </c>
      <c r="J129" s="149">
        <v>1678</v>
      </c>
      <c r="K129" s="149">
        <v>496</v>
      </c>
      <c r="L129" s="149">
        <v>1850</v>
      </c>
      <c r="M129" s="149">
        <v>756</v>
      </c>
      <c r="N129" s="148">
        <v>133</v>
      </c>
      <c r="O129" s="150" t="s">
        <v>540</v>
      </c>
      <c r="P129" s="149">
        <v>104.8</v>
      </c>
      <c r="Q129" s="149">
        <v>330</v>
      </c>
      <c r="R129" s="149">
        <v>300</v>
      </c>
      <c r="S129" s="149">
        <v>9.5</v>
      </c>
      <c r="T129" s="149">
        <v>16.5</v>
      </c>
      <c r="U129" s="149">
        <v>27</v>
      </c>
      <c r="V129" s="149">
        <v>243</v>
      </c>
      <c r="W129" s="149">
        <v>9.09</v>
      </c>
      <c r="X129" s="149">
        <v>25.6</v>
      </c>
      <c r="Y129" s="149">
        <v>27690</v>
      </c>
      <c r="Z129" s="149">
        <v>7436</v>
      </c>
      <c r="AA129" s="149">
        <v>14.4</v>
      </c>
      <c r="AB129" s="149">
        <v>7.46</v>
      </c>
      <c r="AC129" s="149">
        <v>1678</v>
      </c>
      <c r="AD129" s="149">
        <v>496</v>
      </c>
      <c r="AE129" s="149">
        <v>1850</v>
      </c>
      <c r="AF129" s="149">
        <v>756</v>
      </c>
      <c r="AG129" s="149">
        <v>0.87</v>
      </c>
      <c r="AH129" s="149">
        <v>17.899999999999999</v>
      </c>
      <c r="AI129" s="149">
        <v>1.83</v>
      </c>
      <c r="AJ129" s="149">
        <v>131</v>
      </c>
      <c r="AK129" s="148">
        <v>133</v>
      </c>
    </row>
    <row r="130" spans="1:37">
      <c r="A130" s="150" t="s">
        <v>539</v>
      </c>
      <c r="B130" s="149">
        <v>340</v>
      </c>
      <c r="C130" s="149">
        <v>300</v>
      </c>
      <c r="D130" s="149">
        <v>12</v>
      </c>
      <c r="E130" s="149">
        <v>21.5</v>
      </c>
      <c r="F130" s="149">
        <v>27</v>
      </c>
      <c r="G130" s="149">
        <v>243</v>
      </c>
      <c r="H130" s="149">
        <v>36660</v>
      </c>
      <c r="I130" s="149">
        <v>9690</v>
      </c>
      <c r="J130" s="149">
        <v>2156</v>
      </c>
      <c r="K130" s="149">
        <v>646</v>
      </c>
      <c r="L130" s="149">
        <v>2408</v>
      </c>
      <c r="M130" s="149">
        <v>986</v>
      </c>
      <c r="N130" s="148">
        <v>171</v>
      </c>
      <c r="O130" s="150" t="s">
        <v>539</v>
      </c>
      <c r="P130" s="149">
        <v>134.19999999999999</v>
      </c>
      <c r="Q130" s="149">
        <v>340</v>
      </c>
      <c r="R130" s="149">
        <v>300</v>
      </c>
      <c r="S130" s="149">
        <v>12</v>
      </c>
      <c r="T130" s="149">
        <v>21.5</v>
      </c>
      <c r="U130" s="149">
        <v>27</v>
      </c>
      <c r="V130" s="149">
        <v>243</v>
      </c>
      <c r="W130" s="149">
        <v>6.98</v>
      </c>
      <c r="X130" s="149">
        <v>20.3</v>
      </c>
      <c r="Y130" s="149">
        <v>36660</v>
      </c>
      <c r="Z130" s="149">
        <v>9690</v>
      </c>
      <c r="AA130" s="149">
        <v>14.6</v>
      </c>
      <c r="AB130" s="149">
        <v>7.53</v>
      </c>
      <c r="AC130" s="149">
        <v>2156</v>
      </c>
      <c r="AD130" s="149">
        <v>646</v>
      </c>
      <c r="AE130" s="149">
        <v>2408</v>
      </c>
      <c r="AF130" s="149">
        <v>986</v>
      </c>
      <c r="AG130" s="149">
        <v>0.871</v>
      </c>
      <c r="AH130" s="149">
        <v>14.5</v>
      </c>
      <c r="AI130" s="149">
        <v>2.46</v>
      </c>
      <c r="AJ130" s="149">
        <v>263</v>
      </c>
      <c r="AK130" s="148">
        <v>171</v>
      </c>
    </row>
    <row r="131" spans="1:37">
      <c r="A131" s="147" t="s">
        <v>538</v>
      </c>
      <c r="B131" s="146">
        <v>377</v>
      </c>
      <c r="C131" s="146">
        <v>309</v>
      </c>
      <c r="D131" s="146">
        <v>21</v>
      </c>
      <c r="E131" s="146">
        <v>40</v>
      </c>
      <c r="F131" s="146">
        <v>27</v>
      </c>
      <c r="G131" s="146">
        <v>243</v>
      </c>
      <c r="H131" s="146">
        <v>76370</v>
      </c>
      <c r="I131" s="146">
        <v>19710</v>
      </c>
      <c r="J131" s="146">
        <v>4052</v>
      </c>
      <c r="K131" s="146">
        <v>1276</v>
      </c>
      <c r="L131" s="146">
        <v>4718</v>
      </c>
      <c r="M131" s="146">
        <v>1953</v>
      </c>
      <c r="N131" s="145">
        <v>316</v>
      </c>
      <c r="O131" s="147" t="s">
        <v>538</v>
      </c>
      <c r="P131" s="146">
        <v>247.9</v>
      </c>
      <c r="Q131" s="146">
        <v>377</v>
      </c>
      <c r="R131" s="146">
        <v>309</v>
      </c>
      <c r="S131" s="146">
        <v>21</v>
      </c>
      <c r="T131" s="146">
        <v>40</v>
      </c>
      <c r="U131" s="146">
        <v>27</v>
      </c>
      <c r="V131" s="146">
        <v>243</v>
      </c>
      <c r="W131" s="146">
        <v>3.86</v>
      </c>
      <c r="X131" s="146">
        <v>11.6</v>
      </c>
      <c r="Y131" s="146">
        <v>76370</v>
      </c>
      <c r="Z131" s="146">
        <v>19710</v>
      </c>
      <c r="AA131" s="146">
        <v>15.6</v>
      </c>
      <c r="AB131" s="146">
        <v>7.9</v>
      </c>
      <c r="AC131" s="146">
        <v>4052</v>
      </c>
      <c r="AD131" s="146">
        <v>1276</v>
      </c>
      <c r="AE131" s="146">
        <v>4718</v>
      </c>
      <c r="AF131" s="146">
        <v>1953</v>
      </c>
      <c r="AG131" s="146">
        <v>0.874</v>
      </c>
      <c r="AH131" s="146">
        <v>8.7200000000000006</v>
      </c>
      <c r="AI131" s="146">
        <v>5.6</v>
      </c>
      <c r="AJ131" s="146">
        <v>1512</v>
      </c>
      <c r="AK131" s="145">
        <v>316</v>
      </c>
    </row>
    <row r="132" spans="1:37">
      <c r="A132" s="150" t="s">
        <v>537</v>
      </c>
      <c r="B132" s="149">
        <v>339</v>
      </c>
      <c r="C132" s="149">
        <v>300</v>
      </c>
      <c r="D132" s="149">
        <v>9</v>
      </c>
      <c r="E132" s="149">
        <v>12</v>
      </c>
      <c r="F132" s="149">
        <v>27</v>
      </c>
      <c r="G132" s="149">
        <v>261</v>
      </c>
      <c r="H132" s="149">
        <v>23040</v>
      </c>
      <c r="I132" s="149">
        <v>5410</v>
      </c>
      <c r="J132" s="149">
        <v>1359</v>
      </c>
      <c r="K132" s="149">
        <v>361</v>
      </c>
      <c r="L132" s="149">
        <v>1495</v>
      </c>
      <c r="M132" s="149">
        <v>553</v>
      </c>
      <c r="N132" s="148">
        <v>107</v>
      </c>
      <c r="O132" s="150" t="s">
        <v>537</v>
      </c>
      <c r="P132" s="149">
        <v>83.7</v>
      </c>
      <c r="Q132" s="149">
        <v>339</v>
      </c>
      <c r="R132" s="149">
        <v>300</v>
      </c>
      <c r="S132" s="149">
        <v>9</v>
      </c>
      <c r="T132" s="149">
        <v>12</v>
      </c>
      <c r="U132" s="149">
        <v>27</v>
      </c>
      <c r="V132" s="149">
        <v>261</v>
      </c>
      <c r="W132" s="149">
        <v>12.5</v>
      </c>
      <c r="X132" s="149">
        <v>29</v>
      </c>
      <c r="Y132" s="149">
        <v>23040</v>
      </c>
      <c r="Z132" s="149">
        <v>5410</v>
      </c>
      <c r="AA132" s="149">
        <v>14.7</v>
      </c>
      <c r="AB132" s="149">
        <v>7.12</v>
      </c>
      <c r="AC132" s="149">
        <v>1359</v>
      </c>
      <c r="AD132" s="149">
        <v>361</v>
      </c>
      <c r="AE132" s="149">
        <v>1495</v>
      </c>
      <c r="AF132" s="149">
        <v>553</v>
      </c>
      <c r="AG132" s="149">
        <v>0.86599999999999999</v>
      </c>
      <c r="AH132" s="149">
        <v>23.3</v>
      </c>
      <c r="AI132" s="149">
        <v>1.45</v>
      </c>
      <c r="AJ132" s="149">
        <v>67.099999999999994</v>
      </c>
      <c r="AK132" s="148">
        <v>107</v>
      </c>
    </row>
    <row r="133" spans="1:37">
      <c r="A133" s="150" t="s">
        <v>536</v>
      </c>
      <c r="B133" s="149">
        <v>350</v>
      </c>
      <c r="C133" s="149">
        <v>300</v>
      </c>
      <c r="D133" s="149">
        <v>10</v>
      </c>
      <c r="E133" s="149">
        <v>17.5</v>
      </c>
      <c r="F133" s="149">
        <v>27</v>
      </c>
      <c r="G133" s="149">
        <v>261</v>
      </c>
      <c r="H133" s="149">
        <v>33090</v>
      </c>
      <c r="I133" s="149">
        <v>7887</v>
      </c>
      <c r="J133" s="149">
        <v>1891</v>
      </c>
      <c r="K133" s="149">
        <v>526</v>
      </c>
      <c r="L133" s="149">
        <v>2088</v>
      </c>
      <c r="M133" s="149">
        <v>802</v>
      </c>
      <c r="N133" s="148">
        <v>143</v>
      </c>
      <c r="O133" s="150" t="s">
        <v>536</v>
      </c>
      <c r="P133" s="149">
        <v>112.1</v>
      </c>
      <c r="Q133" s="149">
        <v>350</v>
      </c>
      <c r="R133" s="149">
        <v>300</v>
      </c>
      <c r="S133" s="149">
        <v>10</v>
      </c>
      <c r="T133" s="149">
        <v>17.5</v>
      </c>
      <c r="U133" s="149">
        <v>27</v>
      </c>
      <c r="V133" s="149">
        <v>261</v>
      </c>
      <c r="W133" s="149">
        <v>8.57</v>
      </c>
      <c r="X133" s="149">
        <v>26.1</v>
      </c>
      <c r="Y133" s="149">
        <v>33090</v>
      </c>
      <c r="Z133" s="149">
        <v>7887</v>
      </c>
      <c r="AA133" s="149">
        <v>15.2</v>
      </c>
      <c r="AB133" s="149">
        <v>7.43</v>
      </c>
      <c r="AC133" s="149">
        <v>1891</v>
      </c>
      <c r="AD133" s="149">
        <v>526</v>
      </c>
      <c r="AE133" s="149">
        <v>2088</v>
      </c>
      <c r="AF133" s="149">
        <v>802</v>
      </c>
      <c r="AG133" s="149">
        <v>0.876</v>
      </c>
      <c r="AH133" s="149">
        <v>18.2</v>
      </c>
      <c r="AI133" s="149">
        <v>2.1800000000000002</v>
      </c>
      <c r="AJ133" s="149">
        <v>153</v>
      </c>
      <c r="AK133" s="148">
        <v>143</v>
      </c>
    </row>
    <row r="134" spans="1:37">
      <c r="A134" s="150" t="s">
        <v>535</v>
      </c>
      <c r="B134" s="149">
        <v>360</v>
      </c>
      <c r="C134" s="149">
        <v>300</v>
      </c>
      <c r="D134" s="149">
        <v>12.5</v>
      </c>
      <c r="E134" s="149">
        <v>22.5</v>
      </c>
      <c r="F134" s="149">
        <v>27</v>
      </c>
      <c r="G134" s="149">
        <v>261</v>
      </c>
      <c r="H134" s="149">
        <v>43190</v>
      </c>
      <c r="I134" s="149">
        <v>10140</v>
      </c>
      <c r="J134" s="149">
        <v>2400</v>
      </c>
      <c r="K134" s="149">
        <v>676</v>
      </c>
      <c r="L134" s="149">
        <v>2683</v>
      </c>
      <c r="M134" s="149">
        <v>1032</v>
      </c>
      <c r="N134" s="148">
        <v>181</v>
      </c>
      <c r="O134" s="150" t="s">
        <v>535</v>
      </c>
      <c r="P134" s="149">
        <v>141.80000000000001</v>
      </c>
      <c r="Q134" s="149">
        <v>360</v>
      </c>
      <c r="R134" s="149">
        <v>300</v>
      </c>
      <c r="S134" s="149">
        <v>12.5</v>
      </c>
      <c r="T134" s="149">
        <v>22.5</v>
      </c>
      <c r="U134" s="149">
        <v>27</v>
      </c>
      <c r="V134" s="149">
        <v>261</v>
      </c>
      <c r="W134" s="149">
        <v>6.67</v>
      </c>
      <c r="X134" s="149">
        <v>20.9</v>
      </c>
      <c r="Y134" s="149">
        <v>43190</v>
      </c>
      <c r="Z134" s="149">
        <v>10140</v>
      </c>
      <c r="AA134" s="149">
        <v>15.5</v>
      </c>
      <c r="AB134" s="149">
        <v>7.49</v>
      </c>
      <c r="AC134" s="149">
        <v>2400</v>
      </c>
      <c r="AD134" s="149">
        <v>676</v>
      </c>
      <c r="AE134" s="149">
        <v>2683</v>
      </c>
      <c r="AF134" s="149">
        <v>1032</v>
      </c>
      <c r="AG134" s="149">
        <v>0.877</v>
      </c>
      <c r="AH134" s="149">
        <v>14.9</v>
      </c>
      <c r="AI134" s="149">
        <v>2.89</v>
      </c>
      <c r="AJ134" s="149">
        <v>298</v>
      </c>
      <c r="AK134" s="148">
        <v>181</v>
      </c>
    </row>
    <row r="135" spans="1:37">
      <c r="A135" s="147" t="s">
        <v>534</v>
      </c>
      <c r="B135" s="146">
        <v>395</v>
      </c>
      <c r="C135" s="146">
        <v>308</v>
      </c>
      <c r="D135" s="146">
        <v>21</v>
      </c>
      <c r="E135" s="146">
        <v>40</v>
      </c>
      <c r="F135" s="146">
        <v>27</v>
      </c>
      <c r="G135" s="146">
        <v>261</v>
      </c>
      <c r="H135" s="146">
        <v>84870</v>
      </c>
      <c r="I135" s="146">
        <v>19520</v>
      </c>
      <c r="J135" s="146">
        <v>4297</v>
      </c>
      <c r="K135" s="146">
        <v>1268</v>
      </c>
      <c r="L135" s="146">
        <v>4989</v>
      </c>
      <c r="M135" s="146">
        <v>1942</v>
      </c>
      <c r="N135" s="145">
        <v>319</v>
      </c>
      <c r="O135" s="147" t="s">
        <v>534</v>
      </c>
      <c r="P135" s="146">
        <v>250.3</v>
      </c>
      <c r="Q135" s="146">
        <v>395</v>
      </c>
      <c r="R135" s="146">
        <v>308</v>
      </c>
      <c r="S135" s="146">
        <v>21</v>
      </c>
      <c r="T135" s="146">
        <v>40</v>
      </c>
      <c r="U135" s="146">
        <v>27</v>
      </c>
      <c r="V135" s="146">
        <v>261</v>
      </c>
      <c r="W135" s="146">
        <v>3.85</v>
      </c>
      <c r="X135" s="146">
        <v>12.4</v>
      </c>
      <c r="Y135" s="146">
        <v>84870</v>
      </c>
      <c r="Z135" s="146">
        <v>19520</v>
      </c>
      <c r="AA135" s="146">
        <v>16.3</v>
      </c>
      <c r="AB135" s="146">
        <v>7.83</v>
      </c>
      <c r="AC135" s="146">
        <v>4297</v>
      </c>
      <c r="AD135" s="146">
        <v>1268</v>
      </c>
      <c r="AE135" s="146">
        <v>4989</v>
      </c>
      <c r="AF135" s="146">
        <v>1942</v>
      </c>
      <c r="AG135" s="146">
        <v>0.88</v>
      </c>
      <c r="AH135" s="146">
        <v>9.2200000000000006</v>
      </c>
      <c r="AI135" s="146">
        <v>6.15</v>
      </c>
      <c r="AJ135" s="146">
        <v>1513</v>
      </c>
      <c r="AK135" s="145">
        <v>319</v>
      </c>
    </row>
    <row r="136" spans="1:37">
      <c r="A136" s="150" t="s">
        <v>533</v>
      </c>
      <c r="B136" s="149">
        <v>378</v>
      </c>
      <c r="C136" s="149">
        <v>300</v>
      </c>
      <c r="D136" s="149">
        <v>9.5</v>
      </c>
      <c r="E136" s="149">
        <v>13</v>
      </c>
      <c r="F136" s="149">
        <v>27</v>
      </c>
      <c r="G136" s="149">
        <v>298</v>
      </c>
      <c r="H136" s="149">
        <v>31250</v>
      </c>
      <c r="I136" s="149">
        <v>5861</v>
      </c>
      <c r="J136" s="149">
        <v>1654</v>
      </c>
      <c r="K136" s="149">
        <v>391</v>
      </c>
      <c r="L136" s="149">
        <v>1824</v>
      </c>
      <c r="M136" s="149">
        <v>600</v>
      </c>
      <c r="N136" s="148">
        <v>118</v>
      </c>
      <c r="O136" s="150" t="s">
        <v>533</v>
      </c>
      <c r="P136" s="149">
        <v>92.4</v>
      </c>
      <c r="Q136" s="149">
        <v>378</v>
      </c>
      <c r="R136" s="149">
        <v>300</v>
      </c>
      <c r="S136" s="149">
        <v>9.5</v>
      </c>
      <c r="T136" s="149">
        <v>13</v>
      </c>
      <c r="U136" s="149">
        <v>27</v>
      </c>
      <c r="V136" s="149">
        <v>298</v>
      </c>
      <c r="W136" s="149">
        <v>11.5</v>
      </c>
      <c r="X136" s="149">
        <v>31.4</v>
      </c>
      <c r="Y136" s="149">
        <v>31250</v>
      </c>
      <c r="Z136" s="149">
        <v>5861</v>
      </c>
      <c r="AA136" s="149">
        <v>16.3</v>
      </c>
      <c r="AB136" s="149">
        <v>7.06</v>
      </c>
      <c r="AC136" s="149">
        <v>1654</v>
      </c>
      <c r="AD136" s="149">
        <v>391</v>
      </c>
      <c r="AE136" s="149">
        <v>1824</v>
      </c>
      <c r="AF136" s="149">
        <v>600</v>
      </c>
      <c r="AG136" s="149">
        <v>0.875</v>
      </c>
      <c r="AH136" s="149">
        <v>24.9</v>
      </c>
      <c r="AI136" s="149">
        <v>1.95</v>
      </c>
      <c r="AJ136" s="149">
        <v>81.3</v>
      </c>
      <c r="AK136" s="148">
        <v>118</v>
      </c>
    </row>
    <row r="137" spans="1:37">
      <c r="A137" s="150" t="s">
        <v>532</v>
      </c>
      <c r="B137" s="149">
        <v>384</v>
      </c>
      <c r="C137" s="149">
        <v>297</v>
      </c>
      <c r="D137" s="149">
        <v>10</v>
      </c>
      <c r="E137" s="149">
        <v>16</v>
      </c>
      <c r="F137" s="149">
        <v>27</v>
      </c>
      <c r="G137" s="149">
        <v>298</v>
      </c>
      <c r="H137" s="149">
        <v>37640</v>
      </c>
      <c r="I137" s="149">
        <v>6998</v>
      </c>
      <c r="J137" s="149">
        <v>1960</v>
      </c>
      <c r="K137" s="149">
        <v>471</v>
      </c>
      <c r="L137" s="149">
        <v>2165</v>
      </c>
      <c r="M137" s="149">
        <v>721</v>
      </c>
      <c r="N137" s="148">
        <v>136</v>
      </c>
      <c r="O137" s="150" t="s">
        <v>532</v>
      </c>
      <c r="P137" s="149">
        <v>107.2</v>
      </c>
      <c r="Q137" s="149">
        <v>384</v>
      </c>
      <c r="R137" s="149">
        <v>297</v>
      </c>
      <c r="S137" s="149">
        <v>10</v>
      </c>
      <c r="T137" s="149">
        <v>16</v>
      </c>
      <c r="U137" s="149">
        <v>27</v>
      </c>
      <c r="V137" s="149">
        <v>298</v>
      </c>
      <c r="W137" s="149">
        <v>9.2799999999999994</v>
      </c>
      <c r="X137" s="149">
        <v>29.8</v>
      </c>
      <c r="Y137" s="149">
        <v>37640</v>
      </c>
      <c r="Z137" s="149">
        <v>6998</v>
      </c>
      <c r="AA137" s="149">
        <v>16.600000000000001</v>
      </c>
      <c r="AB137" s="149">
        <v>7.16</v>
      </c>
      <c r="AC137" s="149">
        <v>1960</v>
      </c>
      <c r="AD137" s="149">
        <v>471</v>
      </c>
      <c r="AE137" s="149">
        <v>2165</v>
      </c>
      <c r="AF137" s="149">
        <v>721</v>
      </c>
      <c r="AG137" s="149">
        <v>0.88200000000000001</v>
      </c>
      <c r="AH137" s="149">
        <v>21.7</v>
      </c>
      <c r="AI137" s="149">
        <v>2.37</v>
      </c>
      <c r="AJ137" s="149">
        <v>126</v>
      </c>
      <c r="AK137" s="148">
        <v>136</v>
      </c>
    </row>
    <row r="138" spans="1:37">
      <c r="A138" s="150" t="s">
        <v>531</v>
      </c>
      <c r="B138" s="149">
        <v>390</v>
      </c>
      <c r="C138" s="149">
        <v>300</v>
      </c>
      <c r="D138" s="149">
        <v>11</v>
      </c>
      <c r="E138" s="149">
        <v>19</v>
      </c>
      <c r="F138" s="149">
        <v>27</v>
      </c>
      <c r="G138" s="149">
        <v>298</v>
      </c>
      <c r="H138" s="149">
        <v>45070</v>
      </c>
      <c r="I138" s="149">
        <v>8564</v>
      </c>
      <c r="J138" s="149">
        <v>2311</v>
      </c>
      <c r="K138" s="149">
        <v>571</v>
      </c>
      <c r="L138" s="149">
        <v>2562</v>
      </c>
      <c r="M138" s="149">
        <v>873</v>
      </c>
      <c r="N138" s="148">
        <v>159</v>
      </c>
      <c r="O138" s="150" t="s">
        <v>531</v>
      </c>
      <c r="P138" s="149">
        <v>124.8</v>
      </c>
      <c r="Q138" s="149">
        <v>390</v>
      </c>
      <c r="R138" s="149">
        <v>300</v>
      </c>
      <c r="S138" s="149">
        <v>11</v>
      </c>
      <c r="T138" s="149">
        <v>19</v>
      </c>
      <c r="U138" s="149">
        <v>27</v>
      </c>
      <c r="V138" s="149">
        <v>298</v>
      </c>
      <c r="W138" s="149">
        <v>7.89</v>
      </c>
      <c r="X138" s="149">
        <v>27.1</v>
      </c>
      <c r="Y138" s="149">
        <v>45070</v>
      </c>
      <c r="Z138" s="149">
        <v>8564</v>
      </c>
      <c r="AA138" s="149">
        <v>16.8</v>
      </c>
      <c r="AB138" s="149">
        <v>7.34</v>
      </c>
      <c r="AC138" s="149">
        <v>2311</v>
      </c>
      <c r="AD138" s="149">
        <v>571</v>
      </c>
      <c r="AE138" s="149">
        <v>2562</v>
      </c>
      <c r="AF138" s="149">
        <v>873</v>
      </c>
      <c r="AG138" s="149">
        <v>0.88400000000000001</v>
      </c>
      <c r="AH138" s="149">
        <v>19</v>
      </c>
      <c r="AI138" s="149">
        <v>2.95</v>
      </c>
      <c r="AJ138" s="149">
        <v>193</v>
      </c>
      <c r="AK138" s="148">
        <v>159</v>
      </c>
    </row>
    <row r="139" spans="1:37">
      <c r="A139" s="150" t="s">
        <v>530</v>
      </c>
      <c r="B139" s="149">
        <v>400</v>
      </c>
      <c r="C139" s="149">
        <v>300</v>
      </c>
      <c r="D139" s="149">
        <v>13.5</v>
      </c>
      <c r="E139" s="149">
        <v>24</v>
      </c>
      <c r="F139" s="149">
        <v>27</v>
      </c>
      <c r="G139" s="149">
        <v>298</v>
      </c>
      <c r="H139" s="149">
        <v>57680</v>
      </c>
      <c r="I139" s="149">
        <v>10820</v>
      </c>
      <c r="J139" s="149">
        <v>2884</v>
      </c>
      <c r="K139" s="149">
        <v>721</v>
      </c>
      <c r="L139" s="149">
        <v>3232</v>
      </c>
      <c r="M139" s="149">
        <v>1104</v>
      </c>
      <c r="N139" s="148">
        <v>198</v>
      </c>
      <c r="O139" s="150" t="s">
        <v>530</v>
      </c>
      <c r="P139" s="149">
        <v>155.30000000000001</v>
      </c>
      <c r="Q139" s="149">
        <v>400</v>
      </c>
      <c r="R139" s="149">
        <v>300</v>
      </c>
      <c r="S139" s="149">
        <v>13.5</v>
      </c>
      <c r="T139" s="149">
        <v>24</v>
      </c>
      <c r="U139" s="149">
        <v>27</v>
      </c>
      <c r="V139" s="149">
        <v>298</v>
      </c>
      <c r="W139" s="149">
        <v>6.25</v>
      </c>
      <c r="X139" s="149">
        <v>22.1</v>
      </c>
      <c r="Y139" s="149">
        <v>57680</v>
      </c>
      <c r="Z139" s="149">
        <v>10820</v>
      </c>
      <c r="AA139" s="149">
        <v>17.100000000000001</v>
      </c>
      <c r="AB139" s="149">
        <v>7.4</v>
      </c>
      <c r="AC139" s="149">
        <v>2884</v>
      </c>
      <c r="AD139" s="149">
        <v>721</v>
      </c>
      <c r="AE139" s="149">
        <v>3232</v>
      </c>
      <c r="AF139" s="149">
        <v>1104</v>
      </c>
      <c r="AG139" s="149">
        <v>0.88500000000000001</v>
      </c>
      <c r="AH139" s="149">
        <v>15.8</v>
      </c>
      <c r="AI139" s="149">
        <v>3.82</v>
      </c>
      <c r="AJ139" s="149">
        <v>361</v>
      </c>
      <c r="AK139" s="148">
        <v>198</v>
      </c>
    </row>
    <row r="140" spans="1:37">
      <c r="A140" s="147" t="s">
        <v>529</v>
      </c>
      <c r="B140" s="146">
        <v>432</v>
      </c>
      <c r="C140" s="146">
        <v>307</v>
      </c>
      <c r="D140" s="146">
        <v>21</v>
      </c>
      <c r="E140" s="146">
        <v>40</v>
      </c>
      <c r="F140" s="146">
        <v>27</v>
      </c>
      <c r="G140" s="146">
        <v>298</v>
      </c>
      <c r="H140" s="146">
        <v>104100</v>
      </c>
      <c r="I140" s="146">
        <v>19340</v>
      </c>
      <c r="J140" s="146">
        <v>4820</v>
      </c>
      <c r="K140" s="146">
        <v>1260</v>
      </c>
      <c r="L140" s="146">
        <v>5571</v>
      </c>
      <c r="M140" s="146">
        <v>1934</v>
      </c>
      <c r="N140" s="145">
        <v>326</v>
      </c>
      <c r="O140" s="147" t="s">
        <v>529</v>
      </c>
      <c r="P140" s="146">
        <v>255.7</v>
      </c>
      <c r="Q140" s="146">
        <v>432</v>
      </c>
      <c r="R140" s="146">
        <v>307</v>
      </c>
      <c r="S140" s="146">
        <v>21</v>
      </c>
      <c r="T140" s="146">
        <v>40</v>
      </c>
      <c r="U140" s="146">
        <v>27</v>
      </c>
      <c r="V140" s="146">
        <v>298</v>
      </c>
      <c r="W140" s="146">
        <v>3.84</v>
      </c>
      <c r="X140" s="146">
        <v>14.2</v>
      </c>
      <c r="Y140" s="146">
        <v>104100</v>
      </c>
      <c r="Z140" s="146">
        <v>19340</v>
      </c>
      <c r="AA140" s="146">
        <v>17.899999999999999</v>
      </c>
      <c r="AB140" s="146">
        <v>7.7</v>
      </c>
      <c r="AC140" s="146">
        <v>4820</v>
      </c>
      <c r="AD140" s="146">
        <v>1260</v>
      </c>
      <c r="AE140" s="146">
        <v>5571</v>
      </c>
      <c r="AF140" s="146">
        <v>1934</v>
      </c>
      <c r="AG140" s="146">
        <v>0.88700000000000001</v>
      </c>
      <c r="AH140" s="146">
        <v>10.3</v>
      </c>
      <c r="AI140" s="146">
        <v>7.43</v>
      </c>
      <c r="AJ140" s="146">
        <v>1520</v>
      </c>
      <c r="AK140" s="145">
        <v>326</v>
      </c>
    </row>
    <row r="141" spans="1:37">
      <c r="A141" s="150" t="s">
        <v>528</v>
      </c>
      <c r="B141" s="149">
        <v>425</v>
      </c>
      <c r="C141" s="149">
        <v>300</v>
      </c>
      <c r="D141" s="149">
        <v>10</v>
      </c>
      <c r="E141" s="149">
        <v>13.5</v>
      </c>
      <c r="F141" s="149">
        <v>27</v>
      </c>
      <c r="G141" s="149">
        <v>344</v>
      </c>
      <c r="H141" s="149">
        <v>41890</v>
      </c>
      <c r="I141" s="149">
        <v>6088</v>
      </c>
      <c r="J141" s="149">
        <v>1971</v>
      </c>
      <c r="K141" s="149">
        <v>406</v>
      </c>
      <c r="L141" s="149">
        <v>2183</v>
      </c>
      <c r="M141" s="149">
        <v>624</v>
      </c>
      <c r="N141" s="148">
        <v>127</v>
      </c>
      <c r="O141" s="150" t="s">
        <v>528</v>
      </c>
      <c r="P141" s="149">
        <v>99.7</v>
      </c>
      <c r="Q141" s="149">
        <v>425</v>
      </c>
      <c r="R141" s="149">
        <v>300</v>
      </c>
      <c r="S141" s="149">
        <v>10</v>
      </c>
      <c r="T141" s="149">
        <v>13.5</v>
      </c>
      <c r="U141" s="149">
        <v>27</v>
      </c>
      <c r="V141" s="149">
        <v>344</v>
      </c>
      <c r="W141" s="149">
        <v>11.1</v>
      </c>
      <c r="X141" s="149">
        <v>34.4</v>
      </c>
      <c r="Y141" s="149">
        <v>41890</v>
      </c>
      <c r="Z141" s="149">
        <v>6088</v>
      </c>
      <c r="AA141" s="149">
        <v>18.2</v>
      </c>
      <c r="AB141" s="149">
        <v>6.92</v>
      </c>
      <c r="AC141" s="149">
        <v>1971</v>
      </c>
      <c r="AD141" s="149">
        <v>406</v>
      </c>
      <c r="AE141" s="149">
        <v>2183</v>
      </c>
      <c r="AF141" s="149">
        <v>624</v>
      </c>
      <c r="AG141" s="149">
        <v>0.879</v>
      </c>
      <c r="AH141" s="149">
        <v>27.5</v>
      </c>
      <c r="AI141" s="149">
        <v>2.58</v>
      </c>
      <c r="AJ141" s="149">
        <v>91.4</v>
      </c>
      <c r="AK141" s="148">
        <v>127</v>
      </c>
    </row>
    <row r="142" spans="1:37">
      <c r="A142" s="150" t="s">
        <v>527</v>
      </c>
      <c r="B142" s="149">
        <v>435</v>
      </c>
      <c r="C142" s="149">
        <v>300</v>
      </c>
      <c r="D142" s="149">
        <v>10.199999999999999</v>
      </c>
      <c r="E142" s="149">
        <v>18.5</v>
      </c>
      <c r="F142" s="149">
        <v>27</v>
      </c>
      <c r="G142" s="149">
        <v>344</v>
      </c>
      <c r="H142" s="149">
        <v>55860</v>
      </c>
      <c r="I142" s="149">
        <v>8338</v>
      </c>
      <c r="J142" s="149">
        <v>2568</v>
      </c>
      <c r="K142" s="149">
        <v>556</v>
      </c>
      <c r="L142" s="149">
        <v>2836</v>
      </c>
      <c r="M142" s="149">
        <v>850</v>
      </c>
      <c r="N142" s="148">
        <v>158</v>
      </c>
      <c r="O142" s="150" t="s">
        <v>527</v>
      </c>
      <c r="P142" s="149">
        <v>123.9</v>
      </c>
      <c r="Q142" s="149">
        <v>435</v>
      </c>
      <c r="R142" s="149">
        <v>300</v>
      </c>
      <c r="S142" s="149">
        <v>10.199999999999999</v>
      </c>
      <c r="T142" s="149">
        <v>18.5</v>
      </c>
      <c r="U142" s="149">
        <v>27</v>
      </c>
      <c r="V142" s="149">
        <v>344</v>
      </c>
      <c r="W142" s="149">
        <v>8.11</v>
      </c>
      <c r="X142" s="149">
        <v>33.700000000000003</v>
      </c>
      <c r="Y142" s="149">
        <v>55860</v>
      </c>
      <c r="Z142" s="149">
        <v>8338</v>
      </c>
      <c r="AA142" s="149">
        <v>18.8</v>
      </c>
      <c r="AB142" s="149">
        <v>7.27</v>
      </c>
      <c r="AC142" s="149">
        <v>2568</v>
      </c>
      <c r="AD142" s="149">
        <v>556</v>
      </c>
      <c r="AE142" s="149">
        <v>2836</v>
      </c>
      <c r="AF142" s="149">
        <v>850</v>
      </c>
      <c r="AG142" s="149">
        <v>0.89200000000000002</v>
      </c>
      <c r="AH142" s="149">
        <v>22.2</v>
      </c>
      <c r="AI142" s="149">
        <v>3.62</v>
      </c>
      <c r="AJ142" s="149">
        <v>178</v>
      </c>
      <c r="AK142" s="148">
        <v>158</v>
      </c>
    </row>
    <row r="143" spans="1:37">
      <c r="A143" s="150" t="s">
        <v>526</v>
      </c>
      <c r="B143" s="149">
        <v>440</v>
      </c>
      <c r="C143" s="149">
        <v>300</v>
      </c>
      <c r="D143" s="149">
        <v>11.5</v>
      </c>
      <c r="E143" s="149">
        <v>21</v>
      </c>
      <c r="F143" s="149">
        <v>27</v>
      </c>
      <c r="G143" s="149">
        <v>344</v>
      </c>
      <c r="H143" s="149">
        <v>63720</v>
      </c>
      <c r="I143" s="149">
        <v>9465</v>
      </c>
      <c r="J143" s="149">
        <v>2896</v>
      </c>
      <c r="K143" s="149">
        <v>631</v>
      </c>
      <c r="L143" s="149">
        <v>3216</v>
      </c>
      <c r="M143" s="149">
        <v>966</v>
      </c>
      <c r="N143" s="148">
        <v>178</v>
      </c>
      <c r="O143" s="150" t="s">
        <v>526</v>
      </c>
      <c r="P143" s="149">
        <v>139.80000000000001</v>
      </c>
      <c r="Q143" s="149">
        <v>440</v>
      </c>
      <c r="R143" s="149">
        <v>300</v>
      </c>
      <c r="S143" s="149">
        <v>11.5</v>
      </c>
      <c r="T143" s="149">
        <v>21</v>
      </c>
      <c r="U143" s="149">
        <v>27</v>
      </c>
      <c r="V143" s="149">
        <v>344</v>
      </c>
      <c r="W143" s="149">
        <v>7.14</v>
      </c>
      <c r="X143" s="149">
        <v>29.9</v>
      </c>
      <c r="Y143" s="149">
        <v>63720</v>
      </c>
      <c r="Z143" s="149">
        <v>9465</v>
      </c>
      <c r="AA143" s="149">
        <v>18.899999999999999</v>
      </c>
      <c r="AB143" s="149">
        <v>7.29</v>
      </c>
      <c r="AC143" s="149">
        <v>2896</v>
      </c>
      <c r="AD143" s="149">
        <v>631</v>
      </c>
      <c r="AE143" s="149">
        <v>3216</v>
      </c>
      <c r="AF143" s="149">
        <v>966</v>
      </c>
      <c r="AG143" s="149">
        <v>0.89200000000000002</v>
      </c>
      <c r="AH143" s="149">
        <v>20</v>
      </c>
      <c r="AI143" s="149">
        <v>4.1500000000000004</v>
      </c>
      <c r="AJ143" s="149">
        <v>250</v>
      </c>
      <c r="AK143" s="148">
        <v>178</v>
      </c>
    </row>
    <row r="144" spans="1:37">
      <c r="A144" s="150" t="s">
        <v>525</v>
      </c>
      <c r="B144" s="149">
        <v>450</v>
      </c>
      <c r="C144" s="149">
        <v>300</v>
      </c>
      <c r="D144" s="149">
        <v>14</v>
      </c>
      <c r="E144" s="149">
        <v>26</v>
      </c>
      <c r="F144" s="149">
        <v>27</v>
      </c>
      <c r="G144" s="149">
        <v>344</v>
      </c>
      <c r="H144" s="149">
        <v>79890</v>
      </c>
      <c r="I144" s="149">
        <v>11720</v>
      </c>
      <c r="J144" s="149">
        <v>3551</v>
      </c>
      <c r="K144" s="149">
        <v>781</v>
      </c>
      <c r="L144" s="149">
        <v>3982</v>
      </c>
      <c r="M144" s="149">
        <v>1198</v>
      </c>
      <c r="N144" s="148">
        <v>218</v>
      </c>
      <c r="O144" s="150" t="s">
        <v>525</v>
      </c>
      <c r="P144" s="149">
        <v>171.1</v>
      </c>
      <c r="Q144" s="149">
        <v>450</v>
      </c>
      <c r="R144" s="149">
        <v>300</v>
      </c>
      <c r="S144" s="149">
        <v>14</v>
      </c>
      <c r="T144" s="149">
        <v>26</v>
      </c>
      <c r="U144" s="149">
        <v>27</v>
      </c>
      <c r="V144" s="149">
        <v>344</v>
      </c>
      <c r="W144" s="149">
        <v>5.77</v>
      </c>
      <c r="X144" s="149">
        <v>24.6</v>
      </c>
      <c r="Y144" s="149">
        <v>79890</v>
      </c>
      <c r="Z144" s="149">
        <v>11720</v>
      </c>
      <c r="AA144" s="149">
        <v>19.100000000000001</v>
      </c>
      <c r="AB144" s="149">
        <v>7.33</v>
      </c>
      <c r="AC144" s="149">
        <v>3551</v>
      </c>
      <c r="AD144" s="149">
        <v>781</v>
      </c>
      <c r="AE144" s="149">
        <v>3982</v>
      </c>
      <c r="AF144" s="149">
        <v>1198</v>
      </c>
      <c r="AG144" s="149">
        <v>0.89200000000000002</v>
      </c>
      <c r="AH144" s="149">
        <v>16.7</v>
      </c>
      <c r="AI144" s="149">
        <v>5.27</v>
      </c>
      <c r="AJ144" s="149">
        <v>448</v>
      </c>
      <c r="AK144" s="148">
        <v>218</v>
      </c>
    </row>
    <row r="145" spans="1:37">
      <c r="A145" s="147" t="s">
        <v>524</v>
      </c>
      <c r="B145" s="146">
        <v>478</v>
      </c>
      <c r="C145" s="146">
        <v>307</v>
      </c>
      <c r="D145" s="146">
        <v>21</v>
      </c>
      <c r="E145" s="146">
        <v>40</v>
      </c>
      <c r="F145" s="146">
        <v>27</v>
      </c>
      <c r="G145" s="146">
        <v>344</v>
      </c>
      <c r="H145" s="146">
        <v>131500</v>
      </c>
      <c r="I145" s="146">
        <v>19340</v>
      </c>
      <c r="J145" s="146">
        <v>5501</v>
      </c>
      <c r="K145" s="146">
        <v>1260</v>
      </c>
      <c r="L145" s="146">
        <v>6331</v>
      </c>
      <c r="M145" s="146">
        <v>1939</v>
      </c>
      <c r="N145" s="145">
        <v>335</v>
      </c>
      <c r="O145" s="147" t="s">
        <v>524</v>
      </c>
      <c r="P145" s="146">
        <v>263.3</v>
      </c>
      <c r="Q145" s="146">
        <v>478</v>
      </c>
      <c r="R145" s="146">
        <v>307</v>
      </c>
      <c r="S145" s="146">
        <v>21</v>
      </c>
      <c r="T145" s="146">
        <v>40</v>
      </c>
      <c r="U145" s="146">
        <v>27</v>
      </c>
      <c r="V145" s="146">
        <v>344</v>
      </c>
      <c r="W145" s="146">
        <v>3.84</v>
      </c>
      <c r="X145" s="146">
        <v>16.399999999999999</v>
      </c>
      <c r="Y145" s="146">
        <v>131500</v>
      </c>
      <c r="Z145" s="146">
        <v>19340</v>
      </c>
      <c r="AA145" s="146">
        <v>19.8</v>
      </c>
      <c r="AB145" s="146">
        <v>7.59</v>
      </c>
      <c r="AC145" s="146">
        <v>5501</v>
      </c>
      <c r="AD145" s="146">
        <v>1260</v>
      </c>
      <c r="AE145" s="146">
        <v>6331</v>
      </c>
      <c r="AF145" s="146">
        <v>1939</v>
      </c>
      <c r="AG145" s="146">
        <v>0.89200000000000002</v>
      </c>
      <c r="AH145" s="146">
        <v>11.6</v>
      </c>
      <c r="AI145" s="146">
        <v>9.2799999999999994</v>
      </c>
      <c r="AJ145" s="146">
        <v>1534</v>
      </c>
      <c r="AK145" s="145">
        <v>335</v>
      </c>
    </row>
    <row r="146" spans="1:37">
      <c r="A146" s="150" t="s">
        <v>523</v>
      </c>
      <c r="B146" s="149">
        <v>472</v>
      </c>
      <c r="C146" s="149">
        <v>300</v>
      </c>
      <c r="D146" s="149">
        <v>10.5</v>
      </c>
      <c r="E146" s="149">
        <v>14</v>
      </c>
      <c r="F146" s="149">
        <v>27</v>
      </c>
      <c r="G146" s="149">
        <v>390</v>
      </c>
      <c r="H146" s="149">
        <v>54640</v>
      </c>
      <c r="I146" s="149">
        <v>6314</v>
      </c>
      <c r="J146" s="149">
        <v>2315</v>
      </c>
      <c r="K146" s="149">
        <v>421</v>
      </c>
      <c r="L146" s="149">
        <v>2576</v>
      </c>
      <c r="M146" s="149">
        <v>649</v>
      </c>
      <c r="N146" s="148">
        <v>137</v>
      </c>
      <c r="O146" s="150" t="s">
        <v>523</v>
      </c>
      <c r="P146" s="149">
        <v>107.4</v>
      </c>
      <c r="Q146" s="149">
        <v>472</v>
      </c>
      <c r="R146" s="149">
        <v>300</v>
      </c>
      <c r="S146" s="149">
        <v>10.5</v>
      </c>
      <c r="T146" s="149">
        <v>14</v>
      </c>
      <c r="U146" s="149">
        <v>27</v>
      </c>
      <c r="V146" s="149">
        <v>390</v>
      </c>
      <c r="W146" s="149">
        <v>10.7</v>
      </c>
      <c r="X146" s="149">
        <v>37.1</v>
      </c>
      <c r="Y146" s="149">
        <v>54640</v>
      </c>
      <c r="Z146" s="149">
        <v>6314</v>
      </c>
      <c r="AA146" s="149">
        <v>20</v>
      </c>
      <c r="AB146" s="149">
        <v>6.79</v>
      </c>
      <c r="AC146" s="149">
        <v>2315</v>
      </c>
      <c r="AD146" s="149">
        <v>421</v>
      </c>
      <c r="AE146" s="149">
        <v>2576</v>
      </c>
      <c r="AF146" s="149">
        <v>649</v>
      </c>
      <c r="AG146" s="149">
        <v>0.879</v>
      </c>
      <c r="AH146" s="149">
        <v>29.9</v>
      </c>
      <c r="AI146" s="149">
        <v>3.31</v>
      </c>
      <c r="AJ146" s="149">
        <v>103</v>
      </c>
      <c r="AK146" s="148">
        <v>137</v>
      </c>
    </row>
    <row r="147" spans="1:37">
      <c r="A147" s="150" t="s">
        <v>522</v>
      </c>
      <c r="B147" s="149">
        <v>490</v>
      </c>
      <c r="C147" s="149">
        <v>300</v>
      </c>
      <c r="D147" s="149">
        <v>12</v>
      </c>
      <c r="E147" s="149">
        <v>23</v>
      </c>
      <c r="F147" s="149">
        <v>27</v>
      </c>
      <c r="G147" s="149">
        <v>390</v>
      </c>
      <c r="H147" s="149">
        <v>86970</v>
      </c>
      <c r="I147" s="149">
        <v>10370</v>
      </c>
      <c r="J147" s="149">
        <v>3550</v>
      </c>
      <c r="K147" s="149">
        <v>691</v>
      </c>
      <c r="L147" s="149">
        <v>3949</v>
      </c>
      <c r="M147" s="149">
        <v>1059</v>
      </c>
      <c r="N147" s="148">
        <v>198</v>
      </c>
      <c r="O147" s="150" t="s">
        <v>522</v>
      </c>
      <c r="P147" s="149">
        <v>155.1</v>
      </c>
      <c r="Q147" s="149">
        <v>490</v>
      </c>
      <c r="R147" s="149">
        <v>300</v>
      </c>
      <c r="S147" s="149">
        <v>12</v>
      </c>
      <c r="T147" s="149">
        <v>23</v>
      </c>
      <c r="U147" s="149">
        <v>27</v>
      </c>
      <c r="V147" s="149">
        <v>390</v>
      </c>
      <c r="W147" s="149">
        <v>6.52</v>
      </c>
      <c r="X147" s="149">
        <v>32.5</v>
      </c>
      <c r="Y147" s="149">
        <v>86970</v>
      </c>
      <c r="Z147" s="149">
        <v>10370</v>
      </c>
      <c r="AA147" s="149">
        <v>21</v>
      </c>
      <c r="AB147" s="149">
        <v>7.24</v>
      </c>
      <c r="AC147" s="149">
        <v>3550</v>
      </c>
      <c r="AD147" s="149">
        <v>691</v>
      </c>
      <c r="AE147" s="149">
        <v>3949</v>
      </c>
      <c r="AF147" s="149">
        <v>1059</v>
      </c>
      <c r="AG147" s="149">
        <v>0.89600000000000002</v>
      </c>
      <c r="AH147" s="149">
        <v>20.8</v>
      </c>
      <c r="AI147" s="149">
        <v>5.65</v>
      </c>
      <c r="AJ147" s="149">
        <v>318</v>
      </c>
      <c r="AK147" s="148">
        <v>198</v>
      </c>
    </row>
    <row r="148" spans="1:37">
      <c r="A148" s="150" t="s">
        <v>521</v>
      </c>
      <c r="B148" s="149">
        <v>500</v>
      </c>
      <c r="C148" s="149">
        <v>300</v>
      </c>
      <c r="D148" s="149">
        <v>14.5</v>
      </c>
      <c r="E148" s="149">
        <v>28</v>
      </c>
      <c r="F148" s="149">
        <v>27</v>
      </c>
      <c r="G148" s="149">
        <v>390</v>
      </c>
      <c r="H148" s="149">
        <v>107200</v>
      </c>
      <c r="I148" s="149">
        <v>12620</v>
      </c>
      <c r="J148" s="149">
        <v>4287</v>
      </c>
      <c r="K148" s="149">
        <v>842</v>
      </c>
      <c r="L148" s="149">
        <v>4815</v>
      </c>
      <c r="M148" s="149">
        <v>1292</v>
      </c>
      <c r="N148" s="148">
        <v>239</v>
      </c>
      <c r="O148" s="150" t="s">
        <v>521</v>
      </c>
      <c r="P148" s="149">
        <v>187.3</v>
      </c>
      <c r="Q148" s="149">
        <v>500</v>
      </c>
      <c r="R148" s="149">
        <v>300</v>
      </c>
      <c r="S148" s="149">
        <v>14.5</v>
      </c>
      <c r="T148" s="149">
        <v>28</v>
      </c>
      <c r="U148" s="149">
        <v>27</v>
      </c>
      <c r="V148" s="149">
        <v>390</v>
      </c>
      <c r="W148" s="149">
        <v>5.36</v>
      </c>
      <c r="X148" s="149">
        <v>26.9</v>
      </c>
      <c r="Y148" s="149">
        <v>107200</v>
      </c>
      <c r="Z148" s="149">
        <v>12620</v>
      </c>
      <c r="AA148" s="149">
        <v>21.2</v>
      </c>
      <c r="AB148" s="149">
        <v>7.27</v>
      </c>
      <c r="AC148" s="149">
        <v>4287</v>
      </c>
      <c r="AD148" s="149">
        <v>842</v>
      </c>
      <c r="AE148" s="149">
        <v>4815</v>
      </c>
      <c r="AF148" s="149">
        <v>1292</v>
      </c>
      <c r="AG148" s="149">
        <v>0.89600000000000002</v>
      </c>
      <c r="AH148" s="149">
        <v>17.600000000000001</v>
      </c>
      <c r="AI148" s="149">
        <v>7.03</v>
      </c>
      <c r="AJ148" s="149">
        <v>548</v>
      </c>
      <c r="AK148" s="148">
        <v>239</v>
      </c>
    </row>
    <row r="149" spans="1:37">
      <c r="A149" s="147" t="s">
        <v>520</v>
      </c>
      <c r="B149" s="146">
        <v>524</v>
      </c>
      <c r="C149" s="146">
        <v>306</v>
      </c>
      <c r="D149" s="146">
        <v>21</v>
      </c>
      <c r="E149" s="146">
        <v>40</v>
      </c>
      <c r="F149" s="146">
        <v>27</v>
      </c>
      <c r="G149" s="146">
        <v>390</v>
      </c>
      <c r="H149" s="146">
        <v>161900</v>
      </c>
      <c r="I149" s="146">
        <v>19150</v>
      </c>
      <c r="J149" s="146">
        <v>6180</v>
      </c>
      <c r="K149" s="146">
        <v>1252</v>
      </c>
      <c r="L149" s="146">
        <v>7094</v>
      </c>
      <c r="M149" s="146">
        <v>1932</v>
      </c>
      <c r="N149" s="145">
        <v>344</v>
      </c>
      <c r="O149" s="147" t="s">
        <v>520</v>
      </c>
      <c r="P149" s="146">
        <v>270.3</v>
      </c>
      <c r="Q149" s="146">
        <v>524</v>
      </c>
      <c r="R149" s="146">
        <v>306</v>
      </c>
      <c r="S149" s="146">
        <v>21</v>
      </c>
      <c r="T149" s="146">
        <v>40</v>
      </c>
      <c r="U149" s="146">
        <v>27</v>
      </c>
      <c r="V149" s="146">
        <v>390</v>
      </c>
      <c r="W149" s="146">
        <v>3.83</v>
      </c>
      <c r="X149" s="146">
        <v>18.600000000000001</v>
      </c>
      <c r="Y149" s="146">
        <v>161900</v>
      </c>
      <c r="Z149" s="146">
        <v>19150</v>
      </c>
      <c r="AA149" s="146">
        <v>21.7</v>
      </c>
      <c r="AB149" s="146">
        <v>7.46</v>
      </c>
      <c r="AC149" s="146">
        <v>6180</v>
      </c>
      <c r="AD149" s="146">
        <v>1252</v>
      </c>
      <c r="AE149" s="146">
        <v>7094</v>
      </c>
      <c r="AF149" s="146">
        <v>1932</v>
      </c>
      <c r="AG149" s="146">
        <v>0.89400000000000002</v>
      </c>
      <c r="AH149" s="146">
        <v>12.9</v>
      </c>
      <c r="AI149" s="146">
        <v>11.2</v>
      </c>
      <c r="AJ149" s="146">
        <v>1544</v>
      </c>
      <c r="AK149" s="145">
        <v>344</v>
      </c>
    </row>
    <row r="150" spans="1:37">
      <c r="A150" s="150" t="s">
        <v>519</v>
      </c>
      <c r="B150" s="149">
        <v>522</v>
      </c>
      <c r="C150" s="149">
        <v>300</v>
      </c>
      <c r="D150" s="149">
        <v>11.5</v>
      </c>
      <c r="E150" s="149">
        <v>15</v>
      </c>
      <c r="F150" s="149">
        <v>27</v>
      </c>
      <c r="G150" s="149">
        <v>438</v>
      </c>
      <c r="H150" s="149">
        <v>72870</v>
      </c>
      <c r="I150" s="149">
        <v>6767</v>
      </c>
      <c r="J150" s="149">
        <v>2792</v>
      </c>
      <c r="K150" s="149">
        <v>451</v>
      </c>
      <c r="L150" s="149">
        <v>3128</v>
      </c>
      <c r="M150" s="149">
        <v>699</v>
      </c>
      <c r="N150" s="148">
        <v>153</v>
      </c>
      <c r="O150" s="150" t="s">
        <v>519</v>
      </c>
      <c r="P150" s="149">
        <v>120</v>
      </c>
      <c r="Q150" s="149">
        <v>522</v>
      </c>
      <c r="R150" s="149">
        <v>300</v>
      </c>
      <c r="S150" s="149">
        <v>11.5</v>
      </c>
      <c r="T150" s="149">
        <v>15</v>
      </c>
      <c r="U150" s="149">
        <v>27</v>
      </c>
      <c r="V150" s="149">
        <v>438</v>
      </c>
      <c r="W150" s="149">
        <v>10</v>
      </c>
      <c r="X150" s="149">
        <v>38.1</v>
      </c>
      <c r="Y150" s="149">
        <v>72870</v>
      </c>
      <c r="Z150" s="149">
        <v>6767</v>
      </c>
      <c r="AA150" s="149">
        <v>21.8</v>
      </c>
      <c r="AB150" s="149">
        <v>6.65</v>
      </c>
      <c r="AC150" s="149">
        <v>2792</v>
      </c>
      <c r="AD150" s="149">
        <v>451</v>
      </c>
      <c r="AE150" s="149">
        <v>3128</v>
      </c>
      <c r="AF150" s="149">
        <v>699</v>
      </c>
      <c r="AG150" s="149">
        <v>0.877</v>
      </c>
      <c r="AH150" s="149">
        <v>31.5</v>
      </c>
      <c r="AI150" s="149">
        <v>4.3499999999999996</v>
      </c>
      <c r="AJ150" s="149">
        <v>127</v>
      </c>
      <c r="AK150" s="148">
        <v>153</v>
      </c>
    </row>
    <row r="151" spans="1:37">
      <c r="A151" s="150" t="s">
        <v>518</v>
      </c>
      <c r="B151" s="149">
        <v>540</v>
      </c>
      <c r="C151" s="149">
        <v>300</v>
      </c>
      <c r="D151" s="149">
        <v>12.5</v>
      </c>
      <c r="E151" s="149">
        <v>24</v>
      </c>
      <c r="F151" s="149">
        <v>27</v>
      </c>
      <c r="G151" s="149">
        <v>438</v>
      </c>
      <c r="H151" s="149">
        <v>111900</v>
      </c>
      <c r="I151" s="149">
        <v>10820</v>
      </c>
      <c r="J151" s="149">
        <v>4146</v>
      </c>
      <c r="K151" s="149">
        <v>721</v>
      </c>
      <c r="L151" s="149">
        <v>4622</v>
      </c>
      <c r="M151" s="149">
        <v>1107</v>
      </c>
      <c r="N151" s="148">
        <v>212</v>
      </c>
      <c r="O151" s="150" t="s">
        <v>518</v>
      </c>
      <c r="P151" s="149">
        <v>166.2</v>
      </c>
      <c r="Q151" s="149">
        <v>540</v>
      </c>
      <c r="R151" s="149">
        <v>300</v>
      </c>
      <c r="S151" s="149">
        <v>12.5</v>
      </c>
      <c r="T151" s="149">
        <v>24</v>
      </c>
      <c r="U151" s="149">
        <v>27</v>
      </c>
      <c r="V151" s="149">
        <v>438</v>
      </c>
      <c r="W151" s="149">
        <v>6.25</v>
      </c>
      <c r="X151" s="149">
        <v>35</v>
      </c>
      <c r="Y151" s="149">
        <v>111900</v>
      </c>
      <c r="Z151" s="149">
        <v>10820</v>
      </c>
      <c r="AA151" s="149">
        <v>23</v>
      </c>
      <c r="AB151" s="149">
        <v>7.15</v>
      </c>
      <c r="AC151" s="149">
        <v>4146</v>
      </c>
      <c r="AD151" s="149">
        <v>721</v>
      </c>
      <c r="AE151" s="149">
        <v>4622</v>
      </c>
      <c r="AF151" s="149">
        <v>1107</v>
      </c>
      <c r="AG151" s="149">
        <v>0.89700000000000002</v>
      </c>
      <c r="AH151" s="149">
        <v>22.4</v>
      </c>
      <c r="AI151" s="149">
        <v>7.2</v>
      </c>
      <c r="AJ151" s="149">
        <v>360</v>
      </c>
      <c r="AK151" s="148">
        <v>212</v>
      </c>
    </row>
    <row r="152" spans="1:37">
      <c r="A152" s="150" t="s">
        <v>517</v>
      </c>
      <c r="B152" s="149">
        <v>550</v>
      </c>
      <c r="C152" s="149">
        <v>300</v>
      </c>
      <c r="D152" s="149">
        <v>15</v>
      </c>
      <c r="E152" s="149">
        <v>29</v>
      </c>
      <c r="F152" s="149">
        <v>27</v>
      </c>
      <c r="G152" s="149">
        <v>438</v>
      </c>
      <c r="H152" s="149">
        <v>136700</v>
      </c>
      <c r="I152" s="149">
        <v>13080</v>
      </c>
      <c r="J152" s="149">
        <v>4971</v>
      </c>
      <c r="K152" s="149">
        <v>872</v>
      </c>
      <c r="L152" s="149">
        <v>5591</v>
      </c>
      <c r="M152" s="149">
        <v>1341</v>
      </c>
      <c r="N152" s="148">
        <v>254</v>
      </c>
      <c r="O152" s="150" t="s">
        <v>517</v>
      </c>
      <c r="P152" s="149">
        <v>199.4</v>
      </c>
      <c r="Q152" s="149">
        <v>550</v>
      </c>
      <c r="R152" s="149">
        <v>300</v>
      </c>
      <c r="S152" s="149">
        <v>15</v>
      </c>
      <c r="T152" s="149">
        <v>29</v>
      </c>
      <c r="U152" s="149">
        <v>27</v>
      </c>
      <c r="V152" s="149">
        <v>438</v>
      </c>
      <c r="W152" s="149">
        <v>5.17</v>
      </c>
      <c r="X152" s="149">
        <v>29.2</v>
      </c>
      <c r="Y152" s="149">
        <v>136700</v>
      </c>
      <c r="Z152" s="149">
        <v>13080</v>
      </c>
      <c r="AA152" s="149">
        <v>23.2</v>
      </c>
      <c r="AB152" s="149">
        <v>7.17</v>
      </c>
      <c r="AC152" s="149">
        <v>4971</v>
      </c>
      <c r="AD152" s="149">
        <v>872</v>
      </c>
      <c r="AE152" s="149">
        <v>5591</v>
      </c>
      <c r="AF152" s="149">
        <v>1341</v>
      </c>
      <c r="AG152" s="149">
        <v>0.89600000000000002</v>
      </c>
      <c r="AH152" s="149">
        <v>19</v>
      </c>
      <c r="AI152" s="149">
        <v>8.8699999999999992</v>
      </c>
      <c r="AJ152" s="149">
        <v>610</v>
      </c>
      <c r="AK152" s="148">
        <v>254</v>
      </c>
    </row>
    <row r="153" spans="1:37">
      <c r="A153" s="147" t="s">
        <v>516</v>
      </c>
      <c r="B153" s="146">
        <v>572</v>
      </c>
      <c r="C153" s="146">
        <v>306</v>
      </c>
      <c r="D153" s="146">
        <v>21</v>
      </c>
      <c r="E153" s="146">
        <v>40</v>
      </c>
      <c r="F153" s="146">
        <v>27</v>
      </c>
      <c r="G153" s="146">
        <v>438</v>
      </c>
      <c r="H153" s="146">
        <v>198000</v>
      </c>
      <c r="I153" s="146">
        <v>19160</v>
      </c>
      <c r="J153" s="146">
        <v>6923</v>
      </c>
      <c r="K153" s="146">
        <v>1252</v>
      </c>
      <c r="L153" s="146">
        <v>7933</v>
      </c>
      <c r="M153" s="146">
        <v>1937</v>
      </c>
      <c r="N153" s="145">
        <v>354</v>
      </c>
      <c r="O153" s="147" t="s">
        <v>516</v>
      </c>
      <c r="P153" s="146">
        <v>278.2</v>
      </c>
      <c r="Q153" s="146">
        <v>572</v>
      </c>
      <c r="R153" s="146">
        <v>306</v>
      </c>
      <c r="S153" s="146">
        <v>21</v>
      </c>
      <c r="T153" s="146">
        <v>40</v>
      </c>
      <c r="U153" s="146">
        <v>27</v>
      </c>
      <c r="V153" s="146">
        <v>438</v>
      </c>
      <c r="W153" s="146">
        <v>3.83</v>
      </c>
      <c r="X153" s="146">
        <v>20.9</v>
      </c>
      <c r="Y153" s="146">
        <v>198000</v>
      </c>
      <c r="Z153" s="146">
        <v>19160</v>
      </c>
      <c r="AA153" s="146">
        <v>23.6</v>
      </c>
      <c r="AB153" s="146">
        <v>7.35</v>
      </c>
      <c r="AC153" s="146">
        <v>6923</v>
      </c>
      <c r="AD153" s="146">
        <v>1252</v>
      </c>
      <c r="AE153" s="146">
        <v>7933</v>
      </c>
      <c r="AF153" s="146">
        <v>1937</v>
      </c>
      <c r="AG153" s="146">
        <v>0.89400000000000002</v>
      </c>
      <c r="AH153" s="146">
        <v>14.4</v>
      </c>
      <c r="AI153" s="146">
        <v>13.6</v>
      </c>
      <c r="AJ153" s="146">
        <v>1559</v>
      </c>
      <c r="AK153" s="145">
        <v>354</v>
      </c>
    </row>
    <row r="154" spans="1:37">
      <c r="A154" s="150" t="s">
        <v>515</v>
      </c>
      <c r="B154" s="149">
        <v>571</v>
      </c>
      <c r="C154" s="149">
        <v>300</v>
      </c>
      <c r="D154" s="149">
        <v>12</v>
      </c>
      <c r="E154" s="149">
        <v>15.5</v>
      </c>
      <c r="F154" s="149">
        <v>27</v>
      </c>
      <c r="G154" s="149">
        <v>486</v>
      </c>
      <c r="H154" s="149">
        <v>91870</v>
      </c>
      <c r="I154" s="149">
        <v>6993</v>
      </c>
      <c r="J154" s="149">
        <v>3218</v>
      </c>
      <c r="K154" s="149">
        <v>466</v>
      </c>
      <c r="L154" s="149">
        <v>3623</v>
      </c>
      <c r="M154" s="149">
        <v>724</v>
      </c>
      <c r="N154" s="148">
        <v>164</v>
      </c>
      <c r="O154" s="150" t="s">
        <v>515</v>
      </c>
      <c r="P154" s="149">
        <v>128.80000000000001</v>
      </c>
      <c r="Q154" s="149">
        <v>571</v>
      </c>
      <c r="R154" s="149">
        <v>300</v>
      </c>
      <c r="S154" s="149">
        <v>12</v>
      </c>
      <c r="T154" s="149">
        <v>15.5</v>
      </c>
      <c r="U154" s="149">
        <v>27</v>
      </c>
      <c r="V154" s="149">
        <v>486</v>
      </c>
      <c r="W154" s="149">
        <v>9.68</v>
      </c>
      <c r="X154" s="149">
        <v>40.5</v>
      </c>
      <c r="Y154" s="149">
        <v>91870</v>
      </c>
      <c r="Z154" s="149">
        <v>6993</v>
      </c>
      <c r="AA154" s="149">
        <v>23.7</v>
      </c>
      <c r="AB154" s="149">
        <v>6.53</v>
      </c>
      <c r="AC154" s="149">
        <v>3218</v>
      </c>
      <c r="AD154" s="149">
        <v>466</v>
      </c>
      <c r="AE154" s="149">
        <v>3623</v>
      </c>
      <c r="AF154" s="149">
        <v>724</v>
      </c>
      <c r="AG154" s="149">
        <v>0.874</v>
      </c>
      <c r="AH154" s="149">
        <v>33.799999999999997</v>
      </c>
      <c r="AI154" s="149">
        <v>5.4</v>
      </c>
      <c r="AJ154" s="149">
        <v>142</v>
      </c>
      <c r="AK154" s="148">
        <v>164</v>
      </c>
    </row>
    <row r="155" spans="1:37">
      <c r="A155" s="150" t="s">
        <v>514</v>
      </c>
      <c r="B155" s="149">
        <v>575</v>
      </c>
      <c r="C155" s="149">
        <v>300</v>
      </c>
      <c r="D155" s="149">
        <v>11.8</v>
      </c>
      <c r="E155" s="149">
        <v>17.5</v>
      </c>
      <c r="F155" s="149">
        <v>27</v>
      </c>
      <c r="G155" s="149">
        <v>486</v>
      </c>
      <c r="H155" s="149">
        <v>101500</v>
      </c>
      <c r="I155" s="149">
        <v>7893</v>
      </c>
      <c r="J155" s="149">
        <v>3529</v>
      </c>
      <c r="K155" s="149">
        <v>526</v>
      </c>
      <c r="L155" s="149">
        <v>3952</v>
      </c>
      <c r="M155" s="149">
        <v>814</v>
      </c>
      <c r="N155" s="148">
        <v>175</v>
      </c>
      <c r="O155" s="150" t="s">
        <v>514</v>
      </c>
      <c r="P155" s="149">
        <v>137.4</v>
      </c>
      <c r="Q155" s="149">
        <v>575</v>
      </c>
      <c r="R155" s="149">
        <v>300</v>
      </c>
      <c r="S155" s="149">
        <v>11.8</v>
      </c>
      <c r="T155" s="149">
        <v>17.5</v>
      </c>
      <c r="U155" s="149">
        <v>27</v>
      </c>
      <c r="V155" s="149">
        <v>486</v>
      </c>
      <c r="W155" s="149">
        <v>8.57</v>
      </c>
      <c r="X155" s="149">
        <v>41.2</v>
      </c>
      <c r="Y155" s="149">
        <v>101500</v>
      </c>
      <c r="Z155" s="149">
        <v>7893</v>
      </c>
      <c r="AA155" s="149">
        <v>24.1</v>
      </c>
      <c r="AB155" s="149">
        <v>6.72</v>
      </c>
      <c r="AC155" s="149">
        <v>3529</v>
      </c>
      <c r="AD155" s="149">
        <v>526</v>
      </c>
      <c r="AE155" s="149">
        <v>3952</v>
      </c>
      <c r="AF155" s="149">
        <v>814</v>
      </c>
      <c r="AG155" s="149">
        <v>0.88200000000000001</v>
      </c>
      <c r="AH155" s="149">
        <v>31.4</v>
      </c>
      <c r="AI155" s="149">
        <v>6.13</v>
      </c>
      <c r="AJ155" s="149">
        <v>177</v>
      </c>
      <c r="AK155" s="148">
        <v>175</v>
      </c>
    </row>
    <row r="156" spans="1:37">
      <c r="A156" s="150" t="s">
        <v>513</v>
      </c>
      <c r="B156" s="149">
        <v>582</v>
      </c>
      <c r="C156" s="149">
        <v>300</v>
      </c>
      <c r="D156" s="149">
        <v>11.6</v>
      </c>
      <c r="E156" s="149">
        <v>20.6</v>
      </c>
      <c r="F156" s="149">
        <v>27</v>
      </c>
      <c r="G156" s="149">
        <v>486.8</v>
      </c>
      <c r="H156" s="149">
        <v>117100</v>
      </c>
      <c r="I156" s="149">
        <v>9287</v>
      </c>
      <c r="J156" s="149">
        <v>4024</v>
      </c>
      <c r="K156" s="149">
        <v>619</v>
      </c>
      <c r="L156" s="149">
        <v>4483</v>
      </c>
      <c r="M156" s="149">
        <v>953</v>
      </c>
      <c r="N156" s="148">
        <v>193</v>
      </c>
      <c r="O156" s="150" t="s">
        <v>513</v>
      </c>
      <c r="P156" s="149">
        <v>151.19999999999999</v>
      </c>
      <c r="Q156" s="149">
        <v>582</v>
      </c>
      <c r="R156" s="149">
        <v>300</v>
      </c>
      <c r="S156" s="149">
        <v>11.6</v>
      </c>
      <c r="T156" s="149">
        <v>20.6</v>
      </c>
      <c r="U156" s="149">
        <v>27</v>
      </c>
      <c r="V156" s="149">
        <v>486.8</v>
      </c>
      <c r="W156" s="149">
        <v>7.28</v>
      </c>
      <c r="X156" s="149">
        <v>42</v>
      </c>
      <c r="Y156" s="149">
        <v>117100</v>
      </c>
      <c r="Z156" s="149">
        <v>9287</v>
      </c>
      <c r="AA156" s="149">
        <v>24.7</v>
      </c>
      <c r="AB156" s="149">
        <v>6.94</v>
      </c>
      <c r="AC156" s="149">
        <v>4024</v>
      </c>
      <c r="AD156" s="149">
        <v>619</v>
      </c>
      <c r="AE156" s="149">
        <v>4483</v>
      </c>
      <c r="AF156" s="149">
        <v>953</v>
      </c>
      <c r="AG156" s="149">
        <v>0.89200000000000002</v>
      </c>
      <c r="AH156" s="149">
        <v>28</v>
      </c>
      <c r="AI156" s="149">
        <v>7.32</v>
      </c>
      <c r="AJ156" s="149">
        <v>247</v>
      </c>
      <c r="AK156" s="148">
        <v>193</v>
      </c>
    </row>
    <row r="157" spans="1:37">
      <c r="A157" s="150" t="s">
        <v>512</v>
      </c>
      <c r="B157" s="149">
        <v>588</v>
      </c>
      <c r="C157" s="149">
        <v>300</v>
      </c>
      <c r="D157" s="149">
        <v>13.6</v>
      </c>
      <c r="E157" s="149">
        <v>23.9</v>
      </c>
      <c r="F157" s="149">
        <v>27</v>
      </c>
      <c r="G157" s="149">
        <v>486.2</v>
      </c>
      <c r="H157" s="149">
        <v>136400</v>
      </c>
      <c r="I157" s="149">
        <v>10780</v>
      </c>
      <c r="J157" s="149">
        <v>4639</v>
      </c>
      <c r="K157" s="149">
        <v>719</v>
      </c>
      <c r="L157" s="149">
        <v>5202</v>
      </c>
      <c r="M157" s="149">
        <v>1109</v>
      </c>
      <c r="N157" s="148">
        <v>223</v>
      </c>
      <c r="O157" s="150" t="s">
        <v>512</v>
      </c>
      <c r="P157" s="149">
        <v>175.2</v>
      </c>
      <c r="Q157" s="149">
        <v>588</v>
      </c>
      <c r="R157" s="149">
        <v>300</v>
      </c>
      <c r="S157" s="149">
        <v>13.6</v>
      </c>
      <c r="T157" s="149">
        <v>23.9</v>
      </c>
      <c r="U157" s="149">
        <v>27</v>
      </c>
      <c r="V157" s="149">
        <v>486.2</v>
      </c>
      <c r="W157" s="149">
        <v>6.28</v>
      </c>
      <c r="X157" s="149">
        <v>35.799999999999997</v>
      </c>
      <c r="Y157" s="149">
        <v>136400</v>
      </c>
      <c r="Z157" s="149">
        <v>10780</v>
      </c>
      <c r="AA157" s="149">
        <v>24.7</v>
      </c>
      <c r="AB157" s="149">
        <v>6.95</v>
      </c>
      <c r="AC157" s="149">
        <v>4639</v>
      </c>
      <c r="AD157" s="149">
        <v>719</v>
      </c>
      <c r="AE157" s="149">
        <v>5202</v>
      </c>
      <c r="AF157" s="149">
        <v>1109</v>
      </c>
      <c r="AG157" s="149">
        <v>0.89100000000000001</v>
      </c>
      <c r="AH157" s="149">
        <v>24.7</v>
      </c>
      <c r="AI157" s="149">
        <v>8.57</v>
      </c>
      <c r="AJ157" s="149">
        <v>374</v>
      </c>
      <c r="AK157" s="148">
        <v>223</v>
      </c>
    </row>
    <row r="158" spans="1:37">
      <c r="A158" s="150" t="s">
        <v>511</v>
      </c>
      <c r="B158" s="149">
        <v>590</v>
      </c>
      <c r="C158" s="149">
        <v>300</v>
      </c>
      <c r="D158" s="149">
        <v>13</v>
      </c>
      <c r="E158" s="149">
        <v>25</v>
      </c>
      <c r="F158" s="149">
        <v>27</v>
      </c>
      <c r="G158" s="149">
        <v>486</v>
      </c>
      <c r="H158" s="149">
        <v>141200</v>
      </c>
      <c r="I158" s="149">
        <v>11270</v>
      </c>
      <c r="J158" s="149">
        <v>4787</v>
      </c>
      <c r="K158" s="149">
        <v>751</v>
      </c>
      <c r="L158" s="149">
        <v>5350</v>
      </c>
      <c r="M158" s="149">
        <v>1156</v>
      </c>
      <c r="N158" s="148">
        <v>226</v>
      </c>
      <c r="O158" s="150" t="s">
        <v>511</v>
      </c>
      <c r="P158" s="149">
        <v>177.8</v>
      </c>
      <c r="Q158" s="149">
        <v>590</v>
      </c>
      <c r="R158" s="149">
        <v>300</v>
      </c>
      <c r="S158" s="149">
        <v>13</v>
      </c>
      <c r="T158" s="149">
        <v>25</v>
      </c>
      <c r="U158" s="149">
        <v>27</v>
      </c>
      <c r="V158" s="149">
        <v>486</v>
      </c>
      <c r="W158" s="149">
        <v>6</v>
      </c>
      <c r="X158" s="149">
        <v>37.4</v>
      </c>
      <c r="Y158" s="149">
        <v>141200</v>
      </c>
      <c r="Z158" s="149">
        <v>11270</v>
      </c>
      <c r="AA158" s="149">
        <v>25</v>
      </c>
      <c r="AB158" s="149">
        <v>7.05</v>
      </c>
      <c r="AC158" s="149">
        <v>4787</v>
      </c>
      <c r="AD158" s="149">
        <v>751</v>
      </c>
      <c r="AE158" s="149">
        <v>5350</v>
      </c>
      <c r="AF158" s="149">
        <v>1156</v>
      </c>
      <c r="AG158" s="149">
        <v>0.89600000000000002</v>
      </c>
      <c r="AH158" s="149">
        <v>23.9</v>
      </c>
      <c r="AI158" s="149">
        <v>9</v>
      </c>
      <c r="AJ158" s="149">
        <v>407</v>
      </c>
      <c r="AK158" s="148">
        <v>226</v>
      </c>
    </row>
    <row r="159" spans="1:37">
      <c r="A159" s="150" t="s">
        <v>510</v>
      </c>
      <c r="B159" s="149">
        <v>600</v>
      </c>
      <c r="C159" s="149">
        <v>300</v>
      </c>
      <c r="D159" s="149">
        <v>15.5</v>
      </c>
      <c r="E159" s="149">
        <v>30</v>
      </c>
      <c r="F159" s="149">
        <v>27</v>
      </c>
      <c r="G159" s="149">
        <v>486</v>
      </c>
      <c r="H159" s="149">
        <v>171000</v>
      </c>
      <c r="I159" s="149">
        <v>13530</v>
      </c>
      <c r="J159" s="149">
        <v>5701</v>
      </c>
      <c r="K159" s="149">
        <v>902</v>
      </c>
      <c r="L159" s="149">
        <v>6425</v>
      </c>
      <c r="M159" s="149">
        <v>1391</v>
      </c>
      <c r="N159" s="148">
        <v>270</v>
      </c>
      <c r="O159" s="150" t="s">
        <v>510</v>
      </c>
      <c r="P159" s="149">
        <v>211.9</v>
      </c>
      <c r="Q159" s="149">
        <v>600</v>
      </c>
      <c r="R159" s="149">
        <v>300</v>
      </c>
      <c r="S159" s="149">
        <v>15.5</v>
      </c>
      <c r="T159" s="149">
        <v>30</v>
      </c>
      <c r="U159" s="149">
        <v>27</v>
      </c>
      <c r="V159" s="149">
        <v>486</v>
      </c>
      <c r="W159" s="149">
        <v>5</v>
      </c>
      <c r="X159" s="149">
        <v>31.4</v>
      </c>
      <c r="Y159" s="149">
        <v>171000</v>
      </c>
      <c r="Z159" s="149">
        <v>13530</v>
      </c>
      <c r="AA159" s="149">
        <v>25.2</v>
      </c>
      <c r="AB159" s="149">
        <v>7.08</v>
      </c>
      <c r="AC159" s="149">
        <v>5701</v>
      </c>
      <c r="AD159" s="149">
        <v>902</v>
      </c>
      <c r="AE159" s="149">
        <v>6425</v>
      </c>
      <c r="AF159" s="149">
        <v>1391</v>
      </c>
      <c r="AG159" s="149">
        <v>0.89500000000000002</v>
      </c>
      <c r="AH159" s="149">
        <v>20.399999999999999</v>
      </c>
      <c r="AI159" s="149">
        <v>11</v>
      </c>
      <c r="AJ159" s="149">
        <v>677</v>
      </c>
      <c r="AK159" s="148">
        <v>270</v>
      </c>
    </row>
    <row r="160" spans="1:37">
      <c r="A160" s="147" t="s">
        <v>509</v>
      </c>
      <c r="B160" s="146">
        <v>620</v>
      </c>
      <c r="C160" s="146">
        <v>305</v>
      </c>
      <c r="D160" s="146">
        <v>21</v>
      </c>
      <c r="E160" s="146">
        <v>40</v>
      </c>
      <c r="F160" s="146">
        <v>27</v>
      </c>
      <c r="G160" s="146">
        <v>486</v>
      </c>
      <c r="H160" s="146">
        <v>237400</v>
      </c>
      <c r="I160" s="146">
        <v>18980</v>
      </c>
      <c r="J160" s="146">
        <v>7660</v>
      </c>
      <c r="K160" s="146">
        <v>1244</v>
      </c>
      <c r="L160" s="146">
        <v>8772</v>
      </c>
      <c r="M160" s="146">
        <v>1930</v>
      </c>
      <c r="N160" s="145">
        <v>364</v>
      </c>
      <c r="O160" s="147" t="s">
        <v>509</v>
      </c>
      <c r="P160" s="146">
        <v>285.5</v>
      </c>
      <c r="Q160" s="146">
        <v>620</v>
      </c>
      <c r="R160" s="146">
        <v>305</v>
      </c>
      <c r="S160" s="146">
        <v>21</v>
      </c>
      <c r="T160" s="146">
        <v>40</v>
      </c>
      <c r="U160" s="146">
        <v>27</v>
      </c>
      <c r="V160" s="146">
        <v>486</v>
      </c>
      <c r="W160" s="146">
        <v>3.81</v>
      </c>
      <c r="X160" s="146">
        <v>23.1</v>
      </c>
      <c r="Y160" s="146">
        <v>237400</v>
      </c>
      <c r="Z160" s="146">
        <v>18980</v>
      </c>
      <c r="AA160" s="146">
        <v>25.6</v>
      </c>
      <c r="AB160" s="146">
        <v>7.22</v>
      </c>
      <c r="AC160" s="146">
        <v>7660</v>
      </c>
      <c r="AD160" s="146">
        <v>1244</v>
      </c>
      <c r="AE160" s="146">
        <v>8772</v>
      </c>
      <c r="AF160" s="146">
        <v>1930</v>
      </c>
      <c r="AG160" s="146">
        <v>0.89300000000000002</v>
      </c>
      <c r="AH160" s="146">
        <v>15.8</v>
      </c>
      <c r="AI160" s="146">
        <v>16</v>
      </c>
      <c r="AJ160" s="146">
        <v>1570</v>
      </c>
      <c r="AK160" s="145">
        <v>364</v>
      </c>
    </row>
    <row r="161" spans="1:37">
      <c r="A161" s="150" t="s">
        <v>508</v>
      </c>
      <c r="B161" s="149">
        <v>620</v>
      </c>
      <c r="C161" s="149">
        <v>300</v>
      </c>
      <c r="D161" s="149">
        <v>12.5</v>
      </c>
      <c r="E161" s="149">
        <v>16</v>
      </c>
      <c r="F161" s="149">
        <v>27</v>
      </c>
      <c r="G161" s="149">
        <v>534</v>
      </c>
      <c r="H161" s="149">
        <v>113900</v>
      </c>
      <c r="I161" s="149">
        <v>7221</v>
      </c>
      <c r="J161" s="149">
        <v>3676</v>
      </c>
      <c r="K161" s="149">
        <v>481</v>
      </c>
      <c r="L161" s="149">
        <v>4160</v>
      </c>
      <c r="M161" s="149">
        <v>751</v>
      </c>
      <c r="N161" s="148">
        <v>176</v>
      </c>
      <c r="O161" s="150" t="s">
        <v>508</v>
      </c>
      <c r="P161" s="149">
        <v>138</v>
      </c>
      <c r="Q161" s="149">
        <v>620</v>
      </c>
      <c r="R161" s="149">
        <v>300</v>
      </c>
      <c r="S161" s="149">
        <v>12.5</v>
      </c>
      <c r="T161" s="149">
        <v>16</v>
      </c>
      <c r="U161" s="149">
        <v>27</v>
      </c>
      <c r="V161" s="149">
        <v>534</v>
      </c>
      <c r="W161" s="149">
        <v>9.3800000000000008</v>
      </c>
      <c r="X161" s="149">
        <v>42.7</v>
      </c>
      <c r="Y161" s="149">
        <v>113900</v>
      </c>
      <c r="Z161" s="149">
        <v>7221</v>
      </c>
      <c r="AA161" s="149">
        <v>25.5</v>
      </c>
      <c r="AB161" s="149">
        <v>6.41</v>
      </c>
      <c r="AC161" s="149">
        <v>3676</v>
      </c>
      <c r="AD161" s="149">
        <v>481</v>
      </c>
      <c r="AE161" s="149">
        <v>4160</v>
      </c>
      <c r="AF161" s="149">
        <v>751</v>
      </c>
      <c r="AG161" s="149">
        <v>0.871</v>
      </c>
      <c r="AH161" s="149">
        <v>36</v>
      </c>
      <c r="AI161" s="149">
        <v>6.59</v>
      </c>
      <c r="AJ161" s="149">
        <v>158</v>
      </c>
      <c r="AK161" s="148">
        <v>176</v>
      </c>
    </row>
    <row r="162" spans="1:37">
      <c r="A162" s="150" t="s">
        <v>507</v>
      </c>
      <c r="B162" s="149">
        <v>640</v>
      </c>
      <c r="C162" s="149">
        <v>300</v>
      </c>
      <c r="D162" s="149">
        <v>13.5</v>
      </c>
      <c r="E162" s="149">
        <v>26</v>
      </c>
      <c r="F162" s="149">
        <v>27</v>
      </c>
      <c r="G162" s="149">
        <v>534</v>
      </c>
      <c r="H162" s="149">
        <v>175200</v>
      </c>
      <c r="I162" s="149">
        <v>11720</v>
      </c>
      <c r="J162" s="149">
        <v>5474</v>
      </c>
      <c r="K162" s="149">
        <v>782</v>
      </c>
      <c r="L162" s="149">
        <v>6136</v>
      </c>
      <c r="M162" s="149">
        <v>1205</v>
      </c>
      <c r="N162" s="148">
        <v>242</v>
      </c>
      <c r="O162" s="150" t="s">
        <v>507</v>
      </c>
      <c r="P162" s="149">
        <v>189.7</v>
      </c>
      <c r="Q162" s="149">
        <v>640</v>
      </c>
      <c r="R162" s="149">
        <v>300</v>
      </c>
      <c r="S162" s="149">
        <v>13.5</v>
      </c>
      <c r="T162" s="149">
        <v>26</v>
      </c>
      <c r="U162" s="149">
        <v>27</v>
      </c>
      <c r="V162" s="149">
        <v>534</v>
      </c>
      <c r="W162" s="149">
        <v>5.77</v>
      </c>
      <c r="X162" s="149">
        <v>39.6</v>
      </c>
      <c r="Y162" s="149">
        <v>175200</v>
      </c>
      <c r="Z162" s="149">
        <v>11720</v>
      </c>
      <c r="AA162" s="149">
        <v>26.9</v>
      </c>
      <c r="AB162" s="149">
        <v>6.97</v>
      </c>
      <c r="AC162" s="149">
        <v>5474</v>
      </c>
      <c r="AD162" s="149">
        <v>782</v>
      </c>
      <c r="AE162" s="149">
        <v>6136</v>
      </c>
      <c r="AF162" s="149">
        <v>1205</v>
      </c>
      <c r="AG162" s="149">
        <v>0.89400000000000002</v>
      </c>
      <c r="AH162" s="149">
        <v>25.3</v>
      </c>
      <c r="AI162" s="149">
        <v>11</v>
      </c>
      <c r="AJ162" s="149">
        <v>458</v>
      </c>
      <c r="AK162" s="148">
        <v>242</v>
      </c>
    </row>
    <row r="163" spans="1:37">
      <c r="A163" s="150" t="s">
        <v>506</v>
      </c>
      <c r="B163" s="149">
        <v>650</v>
      </c>
      <c r="C163" s="149">
        <v>300</v>
      </c>
      <c r="D163" s="149">
        <v>16</v>
      </c>
      <c r="E163" s="149">
        <v>31</v>
      </c>
      <c r="F163" s="149">
        <v>27</v>
      </c>
      <c r="G163" s="149">
        <v>534</v>
      </c>
      <c r="H163" s="149">
        <v>210600</v>
      </c>
      <c r="I163" s="149">
        <v>13980</v>
      </c>
      <c r="J163" s="149">
        <v>6480</v>
      </c>
      <c r="K163" s="149">
        <v>932</v>
      </c>
      <c r="L163" s="149">
        <v>7320</v>
      </c>
      <c r="M163" s="149">
        <v>1441</v>
      </c>
      <c r="N163" s="148">
        <v>286</v>
      </c>
      <c r="O163" s="150" t="s">
        <v>506</v>
      </c>
      <c r="P163" s="149">
        <v>224.8</v>
      </c>
      <c r="Q163" s="149">
        <v>650</v>
      </c>
      <c r="R163" s="149">
        <v>300</v>
      </c>
      <c r="S163" s="149">
        <v>16</v>
      </c>
      <c r="T163" s="149">
        <v>31</v>
      </c>
      <c r="U163" s="149">
        <v>27</v>
      </c>
      <c r="V163" s="149">
        <v>534</v>
      </c>
      <c r="W163" s="149">
        <v>4.84</v>
      </c>
      <c r="X163" s="149">
        <v>33.4</v>
      </c>
      <c r="Y163" s="149">
        <v>210600</v>
      </c>
      <c r="Z163" s="149">
        <v>13980</v>
      </c>
      <c r="AA163" s="149">
        <v>27.1</v>
      </c>
      <c r="AB163" s="149">
        <v>6.99</v>
      </c>
      <c r="AC163" s="149">
        <v>6480</v>
      </c>
      <c r="AD163" s="149">
        <v>932</v>
      </c>
      <c r="AE163" s="149">
        <v>7320</v>
      </c>
      <c r="AF163" s="149">
        <v>1441</v>
      </c>
      <c r="AG163" s="149">
        <v>0.89300000000000002</v>
      </c>
      <c r="AH163" s="149">
        <v>21.7</v>
      </c>
      <c r="AI163" s="149">
        <v>13.4</v>
      </c>
      <c r="AJ163" s="149">
        <v>749</v>
      </c>
      <c r="AK163" s="148">
        <v>286</v>
      </c>
    </row>
    <row r="164" spans="1:37">
      <c r="A164" s="147" t="s">
        <v>505</v>
      </c>
      <c r="B164" s="146">
        <v>668</v>
      </c>
      <c r="C164" s="146">
        <v>305</v>
      </c>
      <c r="D164" s="146">
        <v>21</v>
      </c>
      <c r="E164" s="146">
        <v>40</v>
      </c>
      <c r="F164" s="146">
        <v>27</v>
      </c>
      <c r="G164" s="146">
        <v>534</v>
      </c>
      <c r="H164" s="146">
        <v>281700</v>
      </c>
      <c r="I164" s="146">
        <v>18980</v>
      </c>
      <c r="J164" s="146">
        <v>8433</v>
      </c>
      <c r="K164" s="146">
        <v>1245</v>
      </c>
      <c r="L164" s="146">
        <v>9657</v>
      </c>
      <c r="M164" s="146">
        <v>1936</v>
      </c>
      <c r="N164" s="145">
        <v>374</v>
      </c>
      <c r="O164" s="147" t="s">
        <v>505</v>
      </c>
      <c r="P164" s="146">
        <v>293.39999999999998</v>
      </c>
      <c r="Q164" s="146">
        <v>668</v>
      </c>
      <c r="R164" s="146">
        <v>305</v>
      </c>
      <c r="S164" s="146">
        <v>21</v>
      </c>
      <c r="T164" s="146">
        <v>40</v>
      </c>
      <c r="U164" s="146">
        <v>27</v>
      </c>
      <c r="V164" s="146">
        <v>534</v>
      </c>
      <c r="W164" s="146">
        <v>3.81</v>
      </c>
      <c r="X164" s="146">
        <v>25.4</v>
      </c>
      <c r="Y164" s="146">
        <v>281700</v>
      </c>
      <c r="Z164" s="146">
        <v>18980</v>
      </c>
      <c r="AA164" s="146">
        <v>27.5</v>
      </c>
      <c r="AB164" s="146">
        <v>7.13</v>
      </c>
      <c r="AC164" s="146">
        <v>8433</v>
      </c>
      <c r="AD164" s="146">
        <v>1245</v>
      </c>
      <c r="AE164" s="146">
        <v>9657</v>
      </c>
      <c r="AF164" s="146">
        <v>1936</v>
      </c>
      <c r="AG164" s="146">
        <v>0.89100000000000001</v>
      </c>
      <c r="AH164" s="146">
        <v>17.3</v>
      </c>
      <c r="AI164" s="146">
        <v>18.7</v>
      </c>
      <c r="AJ164" s="146">
        <v>1584</v>
      </c>
      <c r="AK164" s="145">
        <v>374</v>
      </c>
    </row>
    <row r="165" spans="1:37">
      <c r="A165" s="150" t="s">
        <v>504</v>
      </c>
      <c r="B165" s="149">
        <v>670</v>
      </c>
      <c r="C165" s="149">
        <v>300</v>
      </c>
      <c r="D165" s="149">
        <v>13</v>
      </c>
      <c r="E165" s="149">
        <v>17</v>
      </c>
      <c r="F165" s="149">
        <v>27</v>
      </c>
      <c r="G165" s="149">
        <v>582</v>
      </c>
      <c r="H165" s="149">
        <v>142700</v>
      </c>
      <c r="I165" s="149">
        <v>7673</v>
      </c>
      <c r="J165" s="149">
        <v>4260</v>
      </c>
      <c r="K165" s="149">
        <v>512</v>
      </c>
      <c r="L165" s="149">
        <v>4840</v>
      </c>
      <c r="M165" s="149">
        <v>800</v>
      </c>
      <c r="N165" s="148">
        <v>191</v>
      </c>
      <c r="O165" s="150" t="s">
        <v>504</v>
      </c>
      <c r="P165" s="149">
        <v>149.9</v>
      </c>
      <c r="Q165" s="149">
        <v>670</v>
      </c>
      <c r="R165" s="149">
        <v>300</v>
      </c>
      <c r="S165" s="149">
        <v>13</v>
      </c>
      <c r="T165" s="149">
        <v>17</v>
      </c>
      <c r="U165" s="149">
        <v>27</v>
      </c>
      <c r="V165" s="149">
        <v>582</v>
      </c>
      <c r="W165" s="149">
        <v>8.82</v>
      </c>
      <c r="X165" s="149">
        <v>44.8</v>
      </c>
      <c r="Y165" s="149">
        <v>142700</v>
      </c>
      <c r="Z165" s="149">
        <v>7673</v>
      </c>
      <c r="AA165" s="149">
        <v>27.3</v>
      </c>
      <c r="AB165" s="149">
        <v>6.34</v>
      </c>
      <c r="AC165" s="149">
        <v>4260</v>
      </c>
      <c r="AD165" s="149">
        <v>512</v>
      </c>
      <c r="AE165" s="149">
        <v>4840</v>
      </c>
      <c r="AF165" s="149">
        <v>800</v>
      </c>
      <c r="AG165" s="149">
        <v>0.86899999999999999</v>
      </c>
      <c r="AH165" s="149">
        <v>37.4</v>
      </c>
      <c r="AI165" s="149">
        <v>8.18</v>
      </c>
      <c r="AJ165" s="149">
        <v>186</v>
      </c>
      <c r="AK165" s="148">
        <v>191</v>
      </c>
    </row>
    <row r="166" spans="1:37">
      <c r="A166" s="150" t="s">
        <v>503</v>
      </c>
      <c r="B166" s="149">
        <v>678</v>
      </c>
      <c r="C166" s="149">
        <v>300</v>
      </c>
      <c r="D166" s="149">
        <v>12.5</v>
      </c>
      <c r="E166" s="149">
        <v>21</v>
      </c>
      <c r="F166" s="149">
        <v>27</v>
      </c>
      <c r="G166" s="149">
        <v>582</v>
      </c>
      <c r="H166" s="149">
        <v>168900</v>
      </c>
      <c r="I166" s="149">
        <v>9471</v>
      </c>
      <c r="J166" s="149">
        <v>4982</v>
      </c>
      <c r="K166" s="149">
        <v>631</v>
      </c>
      <c r="L166" s="149">
        <v>5598</v>
      </c>
      <c r="M166" s="149">
        <v>978</v>
      </c>
      <c r="N166" s="148">
        <v>212</v>
      </c>
      <c r="O166" s="150" t="s">
        <v>503</v>
      </c>
      <c r="P166" s="149">
        <v>166.2</v>
      </c>
      <c r="Q166" s="149">
        <v>678</v>
      </c>
      <c r="R166" s="149">
        <v>300</v>
      </c>
      <c r="S166" s="149">
        <v>12.5</v>
      </c>
      <c r="T166" s="149">
        <v>21</v>
      </c>
      <c r="U166" s="149">
        <v>27</v>
      </c>
      <c r="V166" s="149">
        <v>582</v>
      </c>
      <c r="W166" s="149">
        <v>7.14</v>
      </c>
      <c r="X166" s="149">
        <v>46.6</v>
      </c>
      <c r="Y166" s="149">
        <v>168900</v>
      </c>
      <c r="Z166" s="149">
        <v>9471</v>
      </c>
      <c r="AA166" s="149">
        <v>28.2</v>
      </c>
      <c r="AB166" s="149">
        <v>6.69</v>
      </c>
      <c r="AC166" s="149">
        <v>4982</v>
      </c>
      <c r="AD166" s="149">
        <v>631</v>
      </c>
      <c r="AE166" s="149">
        <v>5598</v>
      </c>
      <c r="AF166" s="149">
        <v>978</v>
      </c>
      <c r="AG166" s="149">
        <v>0.88400000000000001</v>
      </c>
      <c r="AH166" s="149">
        <v>32.700000000000003</v>
      </c>
      <c r="AI166" s="149">
        <v>10.199999999999999</v>
      </c>
      <c r="AJ166" s="149">
        <v>274</v>
      </c>
      <c r="AK166" s="148">
        <v>212</v>
      </c>
    </row>
    <row r="167" spans="1:37">
      <c r="A167" s="150" t="s">
        <v>502</v>
      </c>
      <c r="B167" s="149">
        <v>690</v>
      </c>
      <c r="C167" s="149">
        <v>300</v>
      </c>
      <c r="D167" s="149">
        <v>14.5</v>
      </c>
      <c r="E167" s="149">
        <v>27</v>
      </c>
      <c r="F167" s="149">
        <v>27</v>
      </c>
      <c r="G167" s="149">
        <v>582</v>
      </c>
      <c r="H167" s="149">
        <v>215300</v>
      </c>
      <c r="I167" s="149">
        <v>12180</v>
      </c>
      <c r="J167" s="149">
        <v>6241</v>
      </c>
      <c r="K167" s="149">
        <v>812</v>
      </c>
      <c r="L167" s="149">
        <v>7032</v>
      </c>
      <c r="M167" s="149">
        <v>1257</v>
      </c>
      <c r="N167" s="148">
        <v>260</v>
      </c>
      <c r="O167" s="150" t="s">
        <v>502</v>
      </c>
      <c r="P167" s="149">
        <v>204.5</v>
      </c>
      <c r="Q167" s="149">
        <v>690</v>
      </c>
      <c r="R167" s="149">
        <v>300</v>
      </c>
      <c r="S167" s="149">
        <v>14.5</v>
      </c>
      <c r="T167" s="149">
        <v>27</v>
      </c>
      <c r="U167" s="149">
        <v>27</v>
      </c>
      <c r="V167" s="149">
        <v>582</v>
      </c>
      <c r="W167" s="149">
        <v>5.56</v>
      </c>
      <c r="X167" s="149">
        <v>40.1</v>
      </c>
      <c r="Y167" s="149">
        <v>215300</v>
      </c>
      <c r="Z167" s="149">
        <v>12180</v>
      </c>
      <c r="AA167" s="149">
        <v>28.8</v>
      </c>
      <c r="AB167" s="149">
        <v>6.84</v>
      </c>
      <c r="AC167" s="149">
        <v>6241</v>
      </c>
      <c r="AD167" s="149">
        <v>812</v>
      </c>
      <c r="AE167" s="149">
        <v>7032</v>
      </c>
      <c r="AF167" s="149">
        <v>1257</v>
      </c>
      <c r="AG167" s="149">
        <v>0.88900000000000001</v>
      </c>
      <c r="AH167" s="149">
        <v>26.5</v>
      </c>
      <c r="AI167" s="149">
        <v>13.4</v>
      </c>
      <c r="AJ167" s="149">
        <v>522</v>
      </c>
      <c r="AK167" s="148">
        <v>260</v>
      </c>
    </row>
    <row r="168" spans="1:37">
      <c r="A168" s="150" t="s">
        <v>501</v>
      </c>
      <c r="B168" s="149">
        <v>700</v>
      </c>
      <c r="C168" s="149">
        <v>300</v>
      </c>
      <c r="D168" s="149">
        <v>17</v>
      </c>
      <c r="E168" s="149">
        <v>32</v>
      </c>
      <c r="F168" s="149">
        <v>27</v>
      </c>
      <c r="G168" s="149">
        <v>582</v>
      </c>
      <c r="H168" s="149">
        <v>256900</v>
      </c>
      <c r="I168" s="149">
        <v>14440</v>
      </c>
      <c r="J168" s="149">
        <v>7340</v>
      </c>
      <c r="K168" s="149">
        <v>963</v>
      </c>
      <c r="L168" s="149">
        <v>8327</v>
      </c>
      <c r="M168" s="149">
        <v>1495</v>
      </c>
      <c r="N168" s="148">
        <v>306</v>
      </c>
      <c r="O168" s="150" t="s">
        <v>501</v>
      </c>
      <c r="P168" s="149">
        <v>240.5</v>
      </c>
      <c r="Q168" s="149">
        <v>700</v>
      </c>
      <c r="R168" s="149">
        <v>300</v>
      </c>
      <c r="S168" s="149">
        <v>17</v>
      </c>
      <c r="T168" s="149">
        <v>32</v>
      </c>
      <c r="U168" s="149">
        <v>27</v>
      </c>
      <c r="V168" s="149">
        <v>582</v>
      </c>
      <c r="W168" s="149">
        <v>4.6900000000000004</v>
      </c>
      <c r="X168" s="149">
        <v>34.200000000000003</v>
      </c>
      <c r="Y168" s="149">
        <v>256900</v>
      </c>
      <c r="Z168" s="149">
        <v>14440</v>
      </c>
      <c r="AA168" s="149">
        <v>29</v>
      </c>
      <c r="AB168" s="149">
        <v>6.87</v>
      </c>
      <c r="AC168" s="149">
        <v>7340</v>
      </c>
      <c r="AD168" s="149">
        <v>963</v>
      </c>
      <c r="AE168" s="149">
        <v>8327</v>
      </c>
      <c r="AF168" s="149">
        <v>1495</v>
      </c>
      <c r="AG168" s="149">
        <v>0.88900000000000001</v>
      </c>
      <c r="AH168" s="149">
        <v>22.8</v>
      </c>
      <c r="AI168" s="149">
        <v>16.100000000000001</v>
      </c>
      <c r="AJ168" s="149">
        <v>839</v>
      </c>
      <c r="AK168" s="148">
        <v>306</v>
      </c>
    </row>
    <row r="169" spans="1:37">
      <c r="A169" s="147" t="s">
        <v>500</v>
      </c>
      <c r="B169" s="146">
        <v>716</v>
      </c>
      <c r="C169" s="146">
        <v>304</v>
      </c>
      <c r="D169" s="146">
        <v>21</v>
      </c>
      <c r="E169" s="146">
        <v>40</v>
      </c>
      <c r="F169" s="146">
        <v>27</v>
      </c>
      <c r="G169" s="146">
        <v>582</v>
      </c>
      <c r="H169" s="146">
        <v>329300</v>
      </c>
      <c r="I169" s="146">
        <v>18800</v>
      </c>
      <c r="J169" s="146">
        <v>9198</v>
      </c>
      <c r="K169" s="146">
        <v>1237</v>
      </c>
      <c r="L169" s="146">
        <v>10540</v>
      </c>
      <c r="M169" s="146">
        <v>1929</v>
      </c>
      <c r="N169" s="145">
        <v>383</v>
      </c>
      <c r="O169" s="147" t="s">
        <v>500</v>
      </c>
      <c r="P169" s="146">
        <v>300.7</v>
      </c>
      <c r="Q169" s="146">
        <v>716</v>
      </c>
      <c r="R169" s="146">
        <v>304</v>
      </c>
      <c r="S169" s="146">
        <v>21</v>
      </c>
      <c r="T169" s="146">
        <v>40</v>
      </c>
      <c r="U169" s="146">
        <v>27</v>
      </c>
      <c r="V169" s="146">
        <v>582</v>
      </c>
      <c r="W169" s="146">
        <v>3.8</v>
      </c>
      <c r="X169" s="146">
        <v>27.7</v>
      </c>
      <c r="Y169" s="146">
        <v>329300</v>
      </c>
      <c r="Z169" s="146">
        <v>18800</v>
      </c>
      <c r="AA169" s="146">
        <v>29.3</v>
      </c>
      <c r="AB169" s="146">
        <v>7.01</v>
      </c>
      <c r="AC169" s="146">
        <v>9198</v>
      </c>
      <c r="AD169" s="146">
        <v>1237</v>
      </c>
      <c r="AE169" s="146">
        <v>10540</v>
      </c>
      <c r="AF169" s="146">
        <v>1929</v>
      </c>
      <c r="AG169" s="146">
        <v>0.88900000000000001</v>
      </c>
      <c r="AH169" s="146">
        <v>18.8</v>
      </c>
      <c r="AI169" s="146">
        <v>21.5</v>
      </c>
      <c r="AJ169" s="146">
        <v>1595</v>
      </c>
      <c r="AK169" s="145">
        <v>383</v>
      </c>
    </row>
    <row r="170" spans="1:37">
      <c r="A170" s="150" t="s">
        <v>499</v>
      </c>
      <c r="B170" s="149">
        <v>770</v>
      </c>
      <c r="C170" s="149">
        <v>300</v>
      </c>
      <c r="D170" s="149">
        <v>14</v>
      </c>
      <c r="E170" s="149">
        <v>18</v>
      </c>
      <c r="F170" s="149">
        <v>30</v>
      </c>
      <c r="G170" s="149">
        <v>674</v>
      </c>
      <c r="H170" s="149">
        <v>208900</v>
      </c>
      <c r="I170" s="149">
        <v>8134</v>
      </c>
      <c r="J170" s="149">
        <v>5426</v>
      </c>
      <c r="K170" s="149">
        <v>542</v>
      </c>
      <c r="L170" s="149">
        <v>6225</v>
      </c>
      <c r="M170" s="149">
        <v>857</v>
      </c>
      <c r="N170" s="148">
        <v>218</v>
      </c>
      <c r="O170" s="150" t="s">
        <v>499</v>
      </c>
      <c r="P170" s="149">
        <v>171.5</v>
      </c>
      <c r="Q170" s="149">
        <v>770</v>
      </c>
      <c r="R170" s="149">
        <v>300</v>
      </c>
      <c r="S170" s="149">
        <v>14</v>
      </c>
      <c r="T170" s="149">
        <v>18</v>
      </c>
      <c r="U170" s="149">
        <v>30</v>
      </c>
      <c r="V170" s="149">
        <v>674</v>
      </c>
      <c r="W170" s="149">
        <v>8.33</v>
      </c>
      <c r="X170" s="149">
        <v>48.1</v>
      </c>
      <c r="Y170" s="149">
        <v>208900</v>
      </c>
      <c r="Z170" s="149">
        <v>8134</v>
      </c>
      <c r="AA170" s="149">
        <v>30.9</v>
      </c>
      <c r="AB170" s="149">
        <v>6.1</v>
      </c>
      <c r="AC170" s="149">
        <v>5426</v>
      </c>
      <c r="AD170" s="149">
        <v>542</v>
      </c>
      <c r="AE170" s="149">
        <v>6225</v>
      </c>
      <c r="AF170" s="149">
        <v>857</v>
      </c>
      <c r="AG170" s="149">
        <v>0.86199999999999999</v>
      </c>
      <c r="AH170" s="149">
        <v>40.4</v>
      </c>
      <c r="AI170" s="149">
        <v>11.5</v>
      </c>
      <c r="AJ170" s="149">
        <v>243</v>
      </c>
      <c r="AK170" s="148">
        <v>218</v>
      </c>
    </row>
    <row r="171" spans="1:37">
      <c r="A171" s="150" t="s">
        <v>498</v>
      </c>
      <c r="B171" s="149">
        <v>790</v>
      </c>
      <c r="C171" s="149">
        <v>300</v>
      </c>
      <c r="D171" s="149">
        <v>15</v>
      </c>
      <c r="E171" s="149">
        <v>28</v>
      </c>
      <c r="F171" s="149">
        <v>30</v>
      </c>
      <c r="G171" s="149">
        <v>674</v>
      </c>
      <c r="H171" s="149">
        <v>303400</v>
      </c>
      <c r="I171" s="149">
        <v>12640</v>
      </c>
      <c r="J171" s="149">
        <v>7682</v>
      </c>
      <c r="K171" s="149">
        <v>843</v>
      </c>
      <c r="L171" s="149">
        <v>8699</v>
      </c>
      <c r="M171" s="149">
        <v>1312</v>
      </c>
      <c r="N171" s="148">
        <v>286</v>
      </c>
      <c r="O171" s="150" t="s">
        <v>498</v>
      </c>
      <c r="P171" s="149">
        <v>224.4</v>
      </c>
      <c r="Q171" s="149">
        <v>790</v>
      </c>
      <c r="R171" s="149">
        <v>300</v>
      </c>
      <c r="S171" s="149">
        <v>15</v>
      </c>
      <c r="T171" s="149">
        <v>28</v>
      </c>
      <c r="U171" s="149">
        <v>30</v>
      </c>
      <c r="V171" s="149">
        <v>674</v>
      </c>
      <c r="W171" s="149">
        <v>5.36</v>
      </c>
      <c r="X171" s="149">
        <v>44.9</v>
      </c>
      <c r="Y171" s="149">
        <v>303400</v>
      </c>
      <c r="Z171" s="149">
        <v>12640</v>
      </c>
      <c r="AA171" s="149">
        <v>32.6</v>
      </c>
      <c r="AB171" s="149">
        <v>6.65</v>
      </c>
      <c r="AC171" s="149">
        <v>7682</v>
      </c>
      <c r="AD171" s="149">
        <v>843</v>
      </c>
      <c r="AE171" s="149">
        <v>8699</v>
      </c>
      <c r="AF171" s="149">
        <v>1312</v>
      </c>
      <c r="AG171" s="149">
        <v>0.88400000000000001</v>
      </c>
      <c r="AH171" s="149">
        <v>29.6</v>
      </c>
      <c r="AI171" s="149">
        <v>18.3</v>
      </c>
      <c r="AJ171" s="149">
        <v>609</v>
      </c>
      <c r="AK171" s="148">
        <v>286</v>
      </c>
    </row>
    <row r="172" spans="1:37">
      <c r="A172" s="150" t="s">
        <v>497</v>
      </c>
      <c r="B172" s="149">
        <v>800</v>
      </c>
      <c r="C172" s="149">
        <v>300</v>
      </c>
      <c r="D172" s="149">
        <v>17.5</v>
      </c>
      <c r="E172" s="149">
        <v>33</v>
      </c>
      <c r="F172" s="149">
        <v>30</v>
      </c>
      <c r="G172" s="149">
        <v>674</v>
      </c>
      <c r="H172" s="149">
        <v>359100</v>
      </c>
      <c r="I172" s="149">
        <v>14900</v>
      </c>
      <c r="J172" s="149">
        <v>8977</v>
      </c>
      <c r="K172" s="149">
        <v>994</v>
      </c>
      <c r="L172" s="149">
        <v>10230</v>
      </c>
      <c r="M172" s="149">
        <v>1553</v>
      </c>
      <c r="N172" s="148">
        <v>334</v>
      </c>
      <c r="O172" s="150" t="s">
        <v>497</v>
      </c>
      <c r="P172" s="149">
        <v>262.3</v>
      </c>
      <c r="Q172" s="149">
        <v>800</v>
      </c>
      <c r="R172" s="149">
        <v>300</v>
      </c>
      <c r="S172" s="149">
        <v>17.5</v>
      </c>
      <c r="T172" s="149">
        <v>33</v>
      </c>
      <c r="U172" s="149">
        <v>30</v>
      </c>
      <c r="V172" s="149">
        <v>674</v>
      </c>
      <c r="W172" s="149">
        <v>4.55</v>
      </c>
      <c r="X172" s="149">
        <v>38.5</v>
      </c>
      <c r="Y172" s="149">
        <v>359100</v>
      </c>
      <c r="Z172" s="149">
        <v>14900</v>
      </c>
      <c r="AA172" s="149">
        <v>32.799999999999997</v>
      </c>
      <c r="AB172" s="149">
        <v>6.68</v>
      </c>
      <c r="AC172" s="149">
        <v>8977</v>
      </c>
      <c r="AD172" s="149">
        <v>994</v>
      </c>
      <c r="AE172" s="149">
        <v>10230</v>
      </c>
      <c r="AF172" s="149">
        <v>1553</v>
      </c>
      <c r="AG172" s="149">
        <v>0.88400000000000001</v>
      </c>
      <c r="AH172" s="149">
        <v>25.6</v>
      </c>
      <c r="AI172" s="149">
        <v>21.9</v>
      </c>
      <c r="AJ172" s="149">
        <v>959</v>
      </c>
      <c r="AK172" s="148">
        <v>334</v>
      </c>
    </row>
    <row r="173" spans="1:37">
      <c r="A173" s="147" t="s">
        <v>496</v>
      </c>
      <c r="B173" s="146">
        <v>814</v>
      </c>
      <c r="C173" s="146">
        <v>303</v>
      </c>
      <c r="D173" s="146">
        <v>21</v>
      </c>
      <c r="E173" s="146">
        <v>40</v>
      </c>
      <c r="F173" s="146">
        <v>30</v>
      </c>
      <c r="G173" s="146">
        <v>674</v>
      </c>
      <c r="H173" s="146">
        <v>442600</v>
      </c>
      <c r="I173" s="146">
        <v>18630</v>
      </c>
      <c r="J173" s="146">
        <v>10870</v>
      </c>
      <c r="K173" s="146">
        <v>1230</v>
      </c>
      <c r="L173" s="146">
        <v>12490</v>
      </c>
      <c r="M173" s="146">
        <v>1930</v>
      </c>
      <c r="N173" s="145">
        <v>404</v>
      </c>
      <c r="O173" s="147" t="s">
        <v>496</v>
      </c>
      <c r="P173" s="146">
        <v>317.3</v>
      </c>
      <c r="Q173" s="146">
        <v>814</v>
      </c>
      <c r="R173" s="146">
        <v>303</v>
      </c>
      <c r="S173" s="146">
        <v>21</v>
      </c>
      <c r="T173" s="146">
        <v>40</v>
      </c>
      <c r="U173" s="146">
        <v>30</v>
      </c>
      <c r="V173" s="146">
        <v>674</v>
      </c>
      <c r="W173" s="146">
        <v>3.79</v>
      </c>
      <c r="X173" s="146">
        <v>32.1</v>
      </c>
      <c r="Y173" s="146">
        <v>442600</v>
      </c>
      <c r="Z173" s="146">
        <v>18630</v>
      </c>
      <c r="AA173" s="146">
        <v>33.1</v>
      </c>
      <c r="AB173" s="146">
        <v>6.79</v>
      </c>
      <c r="AC173" s="146">
        <v>10870</v>
      </c>
      <c r="AD173" s="146">
        <v>1230</v>
      </c>
      <c r="AE173" s="146">
        <v>12490</v>
      </c>
      <c r="AF173" s="146">
        <v>1930</v>
      </c>
      <c r="AG173" s="146">
        <v>0.88400000000000001</v>
      </c>
      <c r="AH173" s="146">
        <v>21.6</v>
      </c>
      <c r="AI173" s="146">
        <v>27.9</v>
      </c>
      <c r="AJ173" s="146">
        <v>1657</v>
      </c>
      <c r="AK173" s="145">
        <v>404</v>
      </c>
    </row>
    <row r="174" spans="1:37">
      <c r="A174" s="150" t="s">
        <v>495</v>
      </c>
      <c r="B174" s="149">
        <v>870</v>
      </c>
      <c r="C174" s="149">
        <v>300</v>
      </c>
      <c r="D174" s="149">
        <v>15</v>
      </c>
      <c r="E174" s="149">
        <v>20</v>
      </c>
      <c r="F174" s="149">
        <v>30</v>
      </c>
      <c r="G174" s="149">
        <v>770</v>
      </c>
      <c r="H174" s="149">
        <v>301100</v>
      </c>
      <c r="I174" s="149">
        <v>9041</v>
      </c>
      <c r="J174" s="149">
        <v>6923</v>
      </c>
      <c r="K174" s="149">
        <v>603</v>
      </c>
      <c r="L174" s="149">
        <v>7999</v>
      </c>
      <c r="M174" s="149">
        <v>958</v>
      </c>
      <c r="N174" s="148">
        <v>252</v>
      </c>
      <c r="O174" s="150" t="s">
        <v>495</v>
      </c>
      <c r="P174" s="149">
        <v>198</v>
      </c>
      <c r="Q174" s="149">
        <v>870</v>
      </c>
      <c r="R174" s="149">
        <v>300</v>
      </c>
      <c r="S174" s="149">
        <v>15</v>
      </c>
      <c r="T174" s="149">
        <v>20</v>
      </c>
      <c r="U174" s="149">
        <v>30</v>
      </c>
      <c r="V174" s="149">
        <v>770</v>
      </c>
      <c r="W174" s="149">
        <v>7.5</v>
      </c>
      <c r="X174" s="149">
        <v>51.3</v>
      </c>
      <c r="Y174" s="149">
        <v>301100</v>
      </c>
      <c r="Z174" s="149">
        <v>9041</v>
      </c>
      <c r="AA174" s="149">
        <v>34.6</v>
      </c>
      <c r="AB174" s="149">
        <v>5.99</v>
      </c>
      <c r="AC174" s="149">
        <v>6923</v>
      </c>
      <c r="AD174" s="149">
        <v>603</v>
      </c>
      <c r="AE174" s="149">
        <v>7999</v>
      </c>
      <c r="AF174" s="149">
        <v>958</v>
      </c>
      <c r="AG174" s="149">
        <v>0.85699999999999998</v>
      </c>
      <c r="AH174" s="149">
        <v>42.6</v>
      </c>
      <c r="AI174" s="149">
        <v>16.3</v>
      </c>
      <c r="AJ174" s="149">
        <v>322</v>
      </c>
      <c r="AK174" s="148">
        <v>252</v>
      </c>
    </row>
    <row r="175" spans="1:37">
      <c r="A175" s="150" t="s">
        <v>494</v>
      </c>
      <c r="B175" s="149">
        <v>890</v>
      </c>
      <c r="C175" s="149">
        <v>300</v>
      </c>
      <c r="D175" s="149">
        <v>16</v>
      </c>
      <c r="E175" s="149">
        <v>30</v>
      </c>
      <c r="F175" s="149">
        <v>30</v>
      </c>
      <c r="G175" s="149">
        <v>770</v>
      </c>
      <c r="H175" s="149">
        <v>422100</v>
      </c>
      <c r="I175" s="149">
        <v>13550</v>
      </c>
      <c r="J175" s="149">
        <v>9485</v>
      </c>
      <c r="K175" s="149">
        <v>903</v>
      </c>
      <c r="L175" s="149">
        <v>10810</v>
      </c>
      <c r="M175" s="149">
        <v>1414</v>
      </c>
      <c r="N175" s="148">
        <v>321</v>
      </c>
      <c r="O175" s="150" t="s">
        <v>494</v>
      </c>
      <c r="P175" s="149">
        <v>251.6</v>
      </c>
      <c r="Q175" s="149">
        <v>890</v>
      </c>
      <c r="R175" s="149">
        <v>300</v>
      </c>
      <c r="S175" s="149">
        <v>16</v>
      </c>
      <c r="T175" s="149">
        <v>30</v>
      </c>
      <c r="U175" s="149">
        <v>30</v>
      </c>
      <c r="V175" s="149">
        <v>770</v>
      </c>
      <c r="W175" s="149">
        <v>5</v>
      </c>
      <c r="X175" s="149">
        <v>48.1</v>
      </c>
      <c r="Y175" s="149">
        <v>422100</v>
      </c>
      <c r="Z175" s="149">
        <v>13550</v>
      </c>
      <c r="AA175" s="149">
        <v>36.299999999999997</v>
      </c>
      <c r="AB175" s="149">
        <v>6.5</v>
      </c>
      <c r="AC175" s="149">
        <v>9485</v>
      </c>
      <c r="AD175" s="149">
        <v>903</v>
      </c>
      <c r="AE175" s="149">
        <v>10810</v>
      </c>
      <c r="AF175" s="149">
        <v>1414</v>
      </c>
      <c r="AG175" s="149">
        <v>0.878</v>
      </c>
      <c r="AH175" s="149">
        <v>31.8</v>
      </c>
      <c r="AI175" s="149">
        <v>25</v>
      </c>
      <c r="AJ175" s="149">
        <v>749</v>
      </c>
      <c r="AK175" s="148">
        <v>321</v>
      </c>
    </row>
    <row r="176" spans="1:37">
      <c r="A176" s="150" t="s">
        <v>493</v>
      </c>
      <c r="B176" s="149">
        <v>900</v>
      </c>
      <c r="C176" s="149">
        <v>300</v>
      </c>
      <c r="D176" s="149">
        <v>18.5</v>
      </c>
      <c r="E176" s="149">
        <v>35</v>
      </c>
      <c r="F176" s="149">
        <v>30</v>
      </c>
      <c r="G176" s="149">
        <v>770</v>
      </c>
      <c r="H176" s="149">
        <v>494100</v>
      </c>
      <c r="I176" s="149">
        <v>15820</v>
      </c>
      <c r="J176" s="149">
        <v>10980</v>
      </c>
      <c r="K176" s="149">
        <v>1054</v>
      </c>
      <c r="L176" s="149">
        <v>12580</v>
      </c>
      <c r="M176" s="149">
        <v>1658</v>
      </c>
      <c r="N176" s="148">
        <v>371</v>
      </c>
      <c r="O176" s="150" t="s">
        <v>493</v>
      </c>
      <c r="P176" s="149">
        <v>291.5</v>
      </c>
      <c r="Q176" s="149">
        <v>900</v>
      </c>
      <c r="R176" s="149">
        <v>300</v>
      </c>
      <c r="S176" s="149">
        <v>18.5</v>
      </c>
      <c r="T176" s="149">
        <v>35</v>
      </c>
      <c r="U176" s="149">
        <v>30</v>
      </c>
      <c r="V176" s="149">
        <v>770</v>
      </c>
      <c r="W176" s="149">
        <v>4.29</v>
      </c>
      <c r="X176" s="149">
        <v>41.6</v>
      </c>
      <c r="Y176" s="149">
        <v>494100</v>
      </c>
      <c r="Z176" s="149">
        <v>15820</v>
      </c>
      <c r="AA176" s="149">
        <v>36.5</v>
      </c>
      <c r="AB176" s="149">
        <v>6.53</v>
      </c>
      <c r="AC176" s="149">
        <v>10980</v>
      </c>
      <c r="AD176" s="149">
        <v>1054</v>
      </c>
      <c r="AE176" s="149">
        <v>12580</v>
      </c>
      <c r="AF176" s="149">
        <v>1658</v>
      </c>
      <c r="AG176" s="149">
        <v>0.878</v>
      </c>
      <c r="AH176" s="149">
        <v>27.8</v>
      </c>
      <c r="AI176" s="149">
        <v>29.6</v>
      </c>
      <c r="AJ176" s="149">
        <v>1150</v>
      </c>
      <c r="AK176" s="148">
        <v>371</v>
      </c>
    </row>
    <row r="177" spans="1:37">
      <c r="A177" s="147" t="s">
        <v>492</v>
      </c>
      <c r="B177" s="146">
        <v>910</v>
      </c>
      <c r="C177" s="146">
        <v>302</v>
      </c>
      <c r="D177" s="146">
        <v>21</v>
      </c>
      <c r="E177" s="146">
        <v>40</v>
      </c>
      <c r="F177" s="146">
        <v>30</v>
      </c>
      <c r="G177" s="146">
        <v>770</v>
      </c>
      <c r="H177" s="146">
        <v>570400</v>
      </c>
      <c r="I177" s="146">
        <v>18450</v>
      </c>
      <c r="J177" s="146">
        <v>12540</v>
      </c>
      <c r="K177" s="146">
        <v>1222</v>
      </c>
      <c r="L177" s="146">
        <v>14440</v>
      </c>
      <c r="M177" s="146">
        <v>1929</v>
      </c>
      <c r="N177" s="145">
        <v>424</v>
      </c>
      <c r="O177" s="147" t="s">
        <v>492</v>
      </c>
      <c r="P177" s="146">
        <v>332.5</v>
      </c>
      <c r="Q177" s="146">
        <v>910</v>
      </c>
      <c r="R177" s="146">
        <v>302</v>
      </c>
      <c r="S177" s="146">
        <v>21</v>
      </c>
      <c r="T177" s="146">
        <v>40</v>
      </c>
      <c r="U177" s="146">
        <v>30</v>
      </c>
      <c r="V177" s="146">
        <v>770</v>
      </c>
      <c r="W177" s="146">
        <v>3.77</v>
      </c>
      <c r="X177" s="146">
        <v>36.700000000000003</v>
      </c>
      <c r="Y177" s="146">
        <v>570400</v>
      </c>
      <c r="Z177" s="146">
        <v>18450</v>
      </c>
      <c r="AA177" s="146">
        <v>36.700000000000003</v>
      </c>
      <c r="AB177" s="146">
        <v>6.6</v>
      </c>
      <c r="AC177" s="146">
        <v>12540</v>
      </c>
      <c r="AD177" s="146">
        <v>1222</v>
      </c>
      <c r="AE177" s="146">
        <v>14440</v>
      </c>
      <c r="AF177" s="146">
        <v>1929</v>
      </c>
      <c r="AG177" s="146">
        <v>0.878</v>
      </c>
      <c r="AH177" s="146">
        <v>24.7</v>
      </c>
      <c r="AI177" s="146">
        <v>34.9</v>
      </c>
      <c r="AJ177" s="146">
        <v>1683</v>
      </c>
      <c r="AK177" s="145">
        <v>424</v>
      </c>
    </row>
    <row r="178" spans="1:37">
      <c r="A178" s="150" t="s">
        <v>491</v>
      </c>
      <c r="B178" s="149">
        <v>970</v>
      </c>
      <c r="C178" s="149">
        <v>300</v>
      </c>
      <c r="D178" s="149">
        <v>16</v>
      </c>
      <c r="E178" s="149">
        <v>21</v>
      </c>
      <c r="F178" s="149">
        <v>30</v>
      </c>
      <c r="G178" s="149">
        <v>868</v>
      </c>
      <c r="H178" s="149">
        <v>406500</v>
      </c>
      <c r="I178" s="149">
        <v>9501</v>
      </c>
      <c r="J178" s="149">
        <v>8380</v>
      </c>
      <c r="K178" s="149">
        <v>633</v>
      </c>
      <c r="L178" s="149">
        <v>9777</v>
      </c>
      <c r="M178" s="149">
        <v>1016</v>
      </c>
      <c r="N178" s="148">
        <v>282</v>
      </c>
      <c r="O178" s="150" t="s">
        <v>491</v>
      </c>
      <c r="P178" s="149">
        <v>221.5</v>
      </c>
      <c r="Q178" s="149">
        <v>970</v>
      </c>
      <c r="R178" s="149">
        <v>300</v>
      </c>
      <c r="S178" s="149">
        <v>16</v>
      </c>
      <c r="T178" s="149">
        <v>21</v>
      </c>
      <c r="U178" s="149">
        <v>30</v>
      </c>
      <c r="V178" s="149">
        <v>868</v>
      </c>
      <c r="W178" s="149">
        <v>7.14</v>
      </c>
      <c r="X178" s="149">
        <v>54.3</v>
      </c>
      <c r="Y178" s="149">
        <v>406500</v>
      </c>
      <c r="Z178" s="149">
        <v>9501</v>
      </c>
      <c r="AA178" s="149">
        <v>38</v>
      </c>
      <c r="AB178" s="149">
        <v>5.8</v>
      </c>
      <c r="AC178" s="149">
        <v>8380</v>
      </c>
      <c r="AD178" s="149">
        <v>633</v>
      </c>
      <c r="AE178" s="149">
        <v>9777</v>
      </c>
      <c r="AF178" s="149">
        <v>1016</v>
      </c>
      <c r="AG178" s="149">
        <v>0.84899999999999998</v>
      </c>
      <c r="AH178" s="149">
        <v>45.9</v>
      </c>
      <c r="AI178" s="149">
        <v>21.4</v>
      </c>
      <c r="AJ178" s="149">
        <v>387</v>
      </c>
      <c r="AK178" s="148">
        <v>282</v>
      </c>
    </row>
    <row r="179" spans="1:37">
      <c r="A179" s="150" t="s">
        <v>490</v>
      </c>
      <c r="B179" s="149">
        <v>990</v>
      </c>
      <c r="C179" s="149">
        <v>300</v>
      </c>
      <c r="D179" s="149">
        <v>16.5</v>
      </c>
      <c r="E179" s="149">
        <v>31</v>
      </c>
      <c r="F179" s="149">
        <v>30</v>
      </c>
      <c r="G179" s="149">
        <v>868</v>
      </c>
      <c r="H179" s="149">
        <v>553800</v>
      </c>
      <c r="I179" s="149">
        <v>14000</v>
      </c>
      <c r="J179" s="149">
        <v>11190</v>
      </c>
      <c r="K179" s="149">
        <v>934</v>
      </c>
      <c r="L179" s="149">
        <v>12820</v>
      </c>
      <c r="M179" s="149">
        <v>1470</v>
      </c>
      <c r="N179" s="148">
        <v>347</v>
      </c>
      <c r="O179" s="150" t="s">
        <v>490</v>
      </c>
      <c r="P179" s="149">
        <v>272.3</v>
      </c>
      <c r="Q179" s="149">
        <v>990</v>
      </c>
      <c r="R179" s="149">
        <v>300</v>
      </c>
      <c r="S179" s="149">
        <v>16.5</v>
      </c>
      <c r="T179" s="149">
        <v>31</v>
      </c>
      <c r="U179" s="149">
        <v>30</v>
      </c>
      <c r="V179" s="149">
        <v>868</v>
      </c>
      <c r="W179" s="149">
        <v>4.84</v>
      </c>
      <c r="X179" s="149">
        <v>52.6</v>
      </c>
      <c r="Y179" s="149">
        <v>553800</v>
      </c>
      <c r="Z179" s="149">
        <v>14000</v>
      </c>
      <c r="AA179" s="149">
        <v>40</v>
      </c>
      <c r="AB179" s="149">
        <v>6.35</v>
      </c>
      <c r="AC179" s="149">
        <v>11190</v>
      </c>
      <c r="AD179" s="149">
        <v>934</v>
      </c>
      <c r="AE179" s="149">
        <v>12820</v>
      </c>
      <c r="AF179" s="149">
        <v>1470</v>
      </c>
      <c r="AG179" s="149">
        <v>0.873</v>
      </c>
      <c r="AH179" s="149">
        <v>35</v>
      </c>
      <c r="AI179" s="149">
        <v>32.200000000000003</v>
      </c>
      <c r="AJ179" s="149">
        <v>835</v>
      </c>
      <c r="AK179" s="148">
        <v>347</v>
      </c>
    </row>
    <row r="180" spans="1:37">
      <c r="A180" s="150" t="s">
        <v>489</v>
      </c>
      <c r="B180" s="149">
        <v>1000</v>
      </c>
      <c r="C180" s="149">
        <v>300</v>
      </c>
      <c r="D180" s="149">
        <v>19</v>
      </c>
      <c r="E180" s="149">
        <v>36</v>
      </c>
      <c r="F180" s="149">
        <v>30</v>
      </c>
      <c r="G180" s="149">
        <v>868</v>
      </c>
      <c r="H180" s="149">
        <v>644700</v>
      </c>
      <c r="I180" s="149">
        <v>16280</v>
      </c>
      <c r="J180" s="149">
        <v>12890</v>
      </c>
      <c r="K180" s="149">
        <v>1085</v>
      </c>
      <c r="L180" s="149">
        <v>14860</v>
      </c>
      <c r="M180" s="149">
        <v>1716</v>
      </c>
      <c r="N180" s="148">
        <v>400</v>
      </c>
      <c r="O180" s="150" t="s">
        <v>489</v>
      </c>
      <c r="P180" s="149">
        <v>314</v>
      </c>
      <c r="Q180" s="149">
        <v>1000</v>
      </c>
      <c r="R180" s="149">
        <v>300</v>
      </c>
      <c r="S180" s="149">
        <v>19</v>
      </c>
      <c r="T180" s="149">
        <v>36</v>
      </c>
      <c r="U180" s="149">
        <v>30</v>
      </c>
      <c r="V180" s="149">
        <v>868</v>
      </c>
      <c r="W180" s="149">
        <v>4.17</v>
      </c>
      <c r="X180" s="149">
        <v>45.7</v>
      </c>
      <c r="Y180" s="149">
        <v>644700</v>
      </c>
      <c r="Z180" s="149">
        <v>16280</v>
      </c>
      <c r="AA180" s="149">
        <v>40.1</v>
      </c>
      <c r="AB180" s="149">
        <v>6.38</v>
      </c>
      <c r="AC180" s="149">
        <v>12890</v>
      </c>
      <c r="AD180" s="149">
        <v>1085</v>
      </c>
      <c r="AE180" s="149">
        <v>14860</v>
      </c>
      <c r="AF180" s="149">
        <v>1716</v>
      </c>
      <c r="AG180" s="149">
        <v>0.872</v>
      </c>
      <c r="AH180" s="149">
        <v>30.7</v>
      </c>
      <c r="AI180" s="149">
        <v>37.799999999999997</v>
      </c>
      <c r="AJ180" s="149">
        <v>1267</v>
      </c>
      <c r="AK180" s="148">
        <v>400</v>
      </c>
    </row>
    <row r="181" spans="1:37">
      <c r="A181" s="147" t="s">
        <v>488</v>
      </c>
      <c r="B181" s="146">
        <v>1008</v>
      </c>
      <c r="C181" s="146">
        <v>302</v>
      </c>
      <c r="D181" s="146">
        <v>21</v>
      </c>
      <c r="E181" s="146">
        <v>40</v>
      </c>
      <c r="F181" s="146">
        <v>30</v>
      </c>
      <c r="G181" s="146">
        <v>868</v>
      </c>
      <c r="H181" s="146">
        <v>722300</v>
      </c>
      <c r="I181" s="146">
        <v>18460</v>
      </c>
      <c r="J181" s="146">
        <v>14330</v>
      </c>
      <c r="K181" s="146">
        <v>1222</v>
      </c>
      <c r="L181" s="146">
        <v>16570</v>
      </c>
      <c r="M181" s="146">
        <v>1940</v>
      </c>
      <c r="N181" s="145">
        <v>444</v>
      </c>
      <c r="O181" s="147" t="s">
        <v>488</v>
      </c>
      <c r="P181" s="146">
        <v>348.7</v>
      </c>
      <c r="Q181" s="146">
        <v>1008</v>
      </c>
      <c r="R181" s="146">
        <v>302</v>
      </c>
      <c r="S181" s="146">
        <v>21</v>
      </c>
      <c r="T181" s="146">
        <v>40</v>
      </c>
      <c r="U181" s="146">
        <v>30</v>
      </c>
      <c r="V181" s="146">
        <v>868</v>
      </c>
      <c r="W181" s="146">
        <v>3.77</v>
      </c>
      <c r="X181" s="146">
        <v>41.3</v>
      </c>
      <c r="Y181" s="146">
        <v>722300</v>
      </c>
      <c r="Z181" s="146">
        <v>18460</v>
      </c>
      <c r="AA181" s="146">
        <v>40.299999999999997</v>
      </c>
      <c r="AB181" s="146">
        <v>6.45</v>
      </c>
      <c r="AC181" s="146">
        <v>14330</v>
      </c>
      <c r="AD181" s="146">
        <v>1222</v>
      </c>
      <c r="AE181" s="146">
        <v>16570</v>
      </c>
      <c r="AF181" s="146">
        <v>1940</v>
      </c>
      <c r="AG181" s="146">
        <v>0.872</v>
      </c>
      <c r="AH181" s="146">
        <v>27.9</v>
      </c>
      <c r="AI181" s="146">
        <v>43.2</v>
      </c>
      <c r="AJ181" s="146">
        <v>1713</v>
      </c>
      <c r="AK181" s="145">
        <v>444</v>
      </c>
    </row>
    <row r="182" spans="1:37">
      <c r="A182" s="153" t="s">
        <v>487</v>
      </c>
      <c r="B182" s="152">
        <v>1046</v>
      </c>
      <c r="C182" s="152">
        <v>311.39999999999998</v>
      </c>
      <c r="D182" s="152">
        <v>33</v>
      </c>
      <c r="E182" s="152">
        <v>58.9</v>
      </c>
      <c r="F182" s="152">
        <v>30</v>
      </c>
      <c r="G182" s="152">
        <v>868.2</v>
      </c>
      <c r="H182" s="152">
        <v>1130700</v>
      </c>
      <c r="I182" s="152">
        <v>29960</v>
      </c>
      <c r="J182" s="152">
        <v>21620</v>
      </c>
      <c r="K182" s="152">
        <v>1925</v>
      </c>
      <c r="L182" s="152">
        <v>25570</v>
      </c>
      <c r="M182" s="152">
        <v>3126</v>
      </c>
      <c r="N182" s="151">
        <v>681</v>
      </c>
      <c r="O182" s="153" t="s">
        <v>487</v>
      </c>
      <c r="P182" s="152">
        <v>534.5</v>
      </c>
      <c r="Q182" s="152">
        <v>1046</v>
      </c>
      <c r="R182" s="152">
        <v>311.39999999999998</v>
      </c>
      <c r="S182" s="152">
        <v>33</v>
      </c>
      <c r="T182" s="152">
        <v>58.9</v>
      </c>
      <c r="U182" s="152">
        <v>30</v>
      </c>
      <c r="V182" s="152">
        <v>868.2</v>
      </c>
      <c r="W182" s="152">
        <v>2.64</v>
      </c>
      <c r="X182" s="152">
        <v>26.3</v>
      </c>
      <c r="Y182" s="152">
        <v>1130700</v>
      </c>
      <c r="Z182" s="152">
        <v>29960</v>
      </c>
      <c r="AA182" s="152">
        <v>40.799999999999997</v>
      </c>
      <c r="AB182" s="152">
        <v>6.63</v>
      </c>
      <c r="AC182" s="152">
        <v>21620</v>
      </c>
      <c r="AD182" s="152">
        <v>1925</v>
      </c>
      <c r="AE182" s="152">
        <v>25570</v>
      </c>
      <c r="AF182" s="152">
        <v>3126</v>
      </c>
      <c r="AG182" s="152">
        <v>0.86599999999999999</v>
      </c>
      <c r="AH182" s="152">
        <v>19.5</v>
      </c>
      <c r="AI182" s="152">
        <v>73</v>
      </c>
      <c r="AJ182" s="152">
        <v>5576</v>
      </c>
      <c r="AK182" s="151">
        <v>681</v>
      </c>
    </row>
    <row r="183" spans="1:37">
      <c r="A183" s="150" t="s">
        <v>486</v>
      </c>
      <c r="B183" s="149">
        <v>1036.0999999999999</v>
      </c>
      <c r="C183" s="149">
        <v>308.5</v>
      </c>
      <c r="D183" s="149">
        <v>30</v>
      </c>
      <c r="E183" s="149">
        <v>54.1</v>
      </c>
      <c r="F183" s="149">
        <v>30</v>
      </c>
      <c r="G183" s="149">
        <v>867.9</v>
      </c>
      <c r="H183" s="149">
        <v>1021400</v>
      </c>
      <c r="I183" s="149">
        <v>26720</v>
      </c>
      <c r="J183" s="149">
        <v>19720</v>
      </c>
      <c r="K183" s="149">
        <v>1732</v>
      </c>
      <c r="L183" s="149">
        <v>23200</v>
      </c>
      <c r="M183" s="149">
        <v>2800</v>
      </c>
      <c r="N183" s="148">
        <v>620</v>
      </c>
      <c r="O183" s="150" t="s">
        <v>486</v>
      </c>
      <c r="P183" s="149">
        <v>486.6</v>
      </c>
      <c r="Q183" s="149">
        <v>1036.0999999999999</v>
      </c>
      <c r="R183" s="149">
        <v>308.5</v>
      </c>
      <c r="S183" s="149">
        <v>30</v>
      </c>
      <c r="T183" s="149">
        <v>54.1</v>
      </c>
      <c r="U183" s="149">
        <v>30</v>
      </c>
      <c r="V183" s="149">
        <v>867.9</v>
      </c>
      <c r="W183" s="149">
        <v>2.85</v>
      </c>
      <c r="X183" s="149">
        <v>28.9</v>
      </c>
      <c r="Y183" s="149">
        <v>1021400</v>
      </c>
      <c r="Z183" s="149">
        <v>26720</v>
      </c>
      <c r="AA183" s="149">
        <v>40.6</v>
      </c>
      <c r="AB183" s="149">
        <v>6.57</v>
      </c>
      <c r="AC183" s="149">
        <v>19720</v>
      </c>
      <c r="AD183" s="149">
        <v>1732</v>
      </c>
      <c r="AE183" s="149">
        <v>23200</v>
      </c>
      <c r="AF183" s="149">
        <v>2800</v>
      </c>
      <c r="AG183" s="149">
        <v>0.86699999999999999</v>
      </c>
      <c r="AH183" s="149">
        <v>21.1</v>
      </c>
      <c r="AI183" s="149">
        <v>64.400000000000006</v>
      </c>
      <c r="AJ183" s="149">
        <v>4299</v>
      </c>
      <c r="AK183" s="148">
        <v>620</v>
      </c>
    </row>
    <row r="184" spans="1:37">
      <c r="A184" s="150" t="s">
        <v>485</v>
      </c>
      <c r="B184" s="149">
        <v>1025.9000000000001</v>
      </c>
      <c r="C184" s="149">
        <v>305.39999999999998</v>
      </c>
      <c r="D184" s="149">
        <v>26.9</v>
      </c>
      <c r="E184" s="149">
        <v>49</v>
      </c>
      <c r="F184" s="149">
        <v>30</v>
      </c>
      <c r="G184" s="149">
        <v>867.9</v>
      </c>
      <c r="H184" s="149">
        <v>909900</v>
      </c>
      <c r="I184" s="149">
        <v>23450</v>
      </c>
      <c r="J184" s="149">
        <v>17740</v>
      </c>
      <c r="K184" s="149">
        <v>1535</v>
      </c>
      <c r="L184" s="149">
        <v>20760</v>
      </c>
      <c r="M184" s="149">
        <v>2469</v>
      </c>
      <c r="N184" s="148">
        <v>557</v>
      </c>
      <c r="O184" s="150" t="s">
        <v>485</v>
      </c>
      <c r="P184" s="149">
        <v>436.9</v>
      </c>
      <c r="Q184" s="149">
        <v>1025.9000000000001</v>
      </c>
      <c r="R184" s="149">
        <v>305.39999999999998</v>
      </c>
      <c r="S184" s="149">
        <v>26.9</v>
      </c>
      <c r="T184" s="149">
        <v>49</v>
      </c>
      <c r="U184" s="149">
        <v>30</v>
      </c>
      <c r="V184" s="149">
        <v>867.9</v>
      </c>
      <c r="W184" s="149">
        <v>3.12</v>
      </c>
      <c r="X184" s="149">
        <v>32.299999999999997</v>
      </c>
      <c r="Y184" s="149">
        <v>909900</v>
      </c>
      <c r="Z184" s="149">
        <v>23450</v>
      </c>
      <c r="AA184" s="149">
        <v>40.4</v>
      </c>
      <c r="AB184" s="149">
        <v>6.49</v>
      </c>
      <c r="AC184" s="149">
        <v>17740</v>
      </c>
      <c r="AD184" s="149">
        <v>1535</v>
      </c>
      <c r="AE184" s="149">
        <v>20760</v>
      </c>
      <c r="AF184" s="149">
        <v>2469</v>
      </c>
      <c r="AG184" s="149">
        <v>0.86799999999999999</v>
      </c>
      <c r="AH184" s="149">
        <v>23.1</v>
      </c>
      <c r="AI184" s="149">
        <v>55.9</v>
      </c>
      <c r="AJ184" s="149">
        <v>3185</v>
      </c>
      <c r="AK184" s="148">
        <v>557</v>
      </c>
    </row>
    <row r="185" spans="1:37">
      <c r="A185" s="150" t="s">
        <v>484</v>
      </c>
      <c r="B185" s="149">
        <v>1016</v>
      </c>
      <c r="C185" s="149">
        <v>303</v>
      </c>
      <c r="D185" s="149">
        <v>24.4</v>
      </c>
      <c r="E185" s="149">
        <v>43.9</v>
      </c>
      <c r="F185" s="149">
        <v>30</v>
      </c>
      <c r="G185" s="149">
        <v>868.2</v>
      </c>
      <c r="H185" s="149">
        <v>807700</v>
      </c>
      <c r="I185" s="149">
        <v>20500</v>
      </c>
      <c r="J185" s="149">
        <v>15900</v>
      </c>
      <c r="K185" s="149">
        <v>1353</v>
      </c>
      <c r="L185" s="149">
        <v>18540</v>
      </c>
      <c r="M185" s="149">
        <v>2168</v>
      </c>
      <c r="N185" s="148">
        <v>500</v>
      </c>
      <c r="O185" s="150" t="s">
        <v>484</v>
      </c>
      <c r="P185" s="149">
        <v>392.7</v>
      </c>
      <c r="Q185" s="149">
        <v>1016</v>
      </c>
      <c r="R185" s="149">
        <v>303</v>
      </c>
      <c r="S185" s="149">
        <v>24.4</v>
      </c>
      <c r="T185" s="149">
        <v>43.9</v>
      </c>
      <c r="U185" s="149">
        <v>30</v>
      </c>
      <c r="V185" s="149">
        <v>868.2</v>
      </c>
      <c r="W185" s="149">
        <v>3.45</v>
      </c>
      <c r="X185" s="149">
        <v>35.6</v>
      </c>
      <c r="Y185" s="149">
        <v>807700</v>
      </c>
      <c r="Z185" s="149">
        <v>20500</v>
      </c>
      <c r="AA185" s="149">
        <v>40.200000000000003</v>
      </c>
      <c r="AB185" s="149">
        <v>6.4</v>
      </c>
      <c r="AC185" s="149">
        <v>15900</v>
      </c>
      <c r="AD185" s="149">
        <v>1353</v>
      </c>
      <c r="AE185" s="149">
        <v>18540</v>
      </c>
      <c r="AF185" s="149">
        <v>2168</v>
      </c>
      <c r="AG185" s="149">
        <v>0.86799999999999999</v>
      </c>
      <c r="AH185" s="149">
        <v>25.5</v>
      </c>
      <c r="AI185" s="149">
        <v>48.4</v>
      </c>
      <c r="AJ185" s="149">
        <v>2330</v>
      </c>
      <c r="AK185" s="148">
        <v>500</v>
      </c>
    </row>
    <row r="186" spans="1:37">
      <c r="A186" s="150" t="s">
        <v>483</v>
      </c>
      <c r="B186" s="149">
        <v>1008.1</v>
      </c>
      <c r="C186" s="149">
        <v>302</v>
      </c>
      <c r="D186" s="149">
        <v>21.1</v>
      </c>
      <c r="E186" s="149">
        <v>40</v>
      </c>
      <c r="F186" s="149">
        <v>30</v>
      </c>
      <c r="G186" s="149">
        <v>868.1</v>
      </c>
      <c r="H186" s="149">
        <v>723100</v>
      </c>
      <c r="I186" s="149">
        <v>18460</v>
      </c>
      <c r="J186" s="149">
        <v>14350</v>
      </c>
      <c r="K186" s="149">
        <v>1223</v>
      </c>
      <c r="L186" s="149">
        <v>16590</v>
      </c>
      <c r="M186" s="149">
        <v>1941</v>
      </c>
      <c r="N186" s="148">
        <v>445</v>
      </c>
      <c r="O186" s="150" t="s">
        <v>483</v>
      </c>
      <c r="P186" s="149">
        <v>349.4</v>
      </c>
      <c r="Q186" s="149">
        <v>1008.1</v>
      </c>
      <c r="R186" s="149">
        <v>302</v>
      </c>
      <c r="S186" s="149">
        <v>21.1</v>
      </c>
      <c r="T186" s="149">
        <v>40</v>
      </c>
      <c r="U186" s="149">
        <v>30</v>
      </c>
      <c r="V186" s="149">
        <v>868.1</v>
      </c>
      <c r="W186" s="149">
        <v>3.77</v>
      </c>
      <c r="X186" s="149">
        <v>41.1</v>
      </c>
      <c r="Y186" s="149">
        <v>723100</v>
      </c>
      <c r="Z186" s="149">
        <v>18460</v>
      </c>
      <c r="AA186" s="149">
        <v>40.299999999999997</v>
      </c>
      <c r="AB186" s="149">
        <v>6.44</v>
      </c>
      <c r="AC186" s="149">
        <v>14350</v>
      </c>
      <c r="AD186" s="149">
        <v>1223</v>
      </c>
      <c r="AE186" s="149">
        <v>16590</v>
      </c>
      <c r="AF186" s="149">
        <v>1941</v>
      </c>
      <c r="AG186" s="149">
        <v>0.872</v>
      </c>
      <c r="AH186" s="149">
        <v>27.9</v>
      </c>
      <c r="AI186" s="149">
        <v>43.3</v>
      </c>
      <c r="AJ186" s="149">
        <v>1718</v>
      </c>
      <c r="AK186" s="148">
        <v>445</v>
      </c>
    </row>
    <row r="187" spans="1:37">
      <c r="A187" s="150" t="s">
        <v>482</v>
      </c>
      <c r="B187" s="149">
        <v>1000</v>
      </c>
      <c r="C187" s="149">
        <v>300</v>
      </c>
      <c r="D187" s="149">
        <v>19.100000000000001</v>
      </c>
      <c r="E187" s="149">
        <v>35.9</v>
      </c>
      <c r="F187" s="149">
        <v>30</v>
      </c>
      <c r="G187" s="149">
        <v>868.2</v>
      </c>
      <c r="H187" s="149">
        <v>644200</v>
      </c>
      <c r="I187" s="149">
        <v>16230</v>
      </c>
      <c r="J187" s="149">
        <v>12880</v>
      </c>
      <c r="K187" s="149">
        <v>1082</v>
      </c>
      <c r="L187" s="149">
        <v>14850</v>
      </c>
      <c r="M187" s="149">
        <v>1713</v>
      </c>
      <c r="N187" s="148">
        <v>400</v>
      </c>
      <c r="O187" s="150" t="s">
        <v>482</v>
      </c>
      <c r="P187" s="149">
        <v>314.3</v>
      </c>
      <c r="Q187" s="149">
        <v>1000</v>
      </c>
      <c r="R187" s="149">
        <v>300</v>
      </c>
      <c r="S187" s="149">
        <v>19.100000000000001</v>
      </c>
      <c r="T187" s="149">
        <v>35.9</v>
      </c>
      <c r="U187" s="149">
        <v>30</v>
      </c>
      <c r="V187" s="149">
        <v>868.2</v>
      </c>
      <c r="W187" s="149">
        <v>4.18</v>
      </c>
      <c r="X187" s="149">
        <v>45.5</v>
      </c>
      <c r="Y187" s="149">
        <v>644200</v>
      </c>
      <c r="Z187" s="149">
        <v>16230</v>
      </c>
      <c r="AA187" s="149">
        <v>40.1</v>
      </c>
      <c r="AB187" s="149">
        <v>6.37</v>
      </c>
      <c r="AC187" s="149">
        <v>12880</v>
      </c>
      <c r="AD187" s="149">
        <v>1082</v>
      </c>
      <c r="AE187" s="149">
        <v>14850</v>
      </c>
      <c r="AF187" s="149">
        <v>1713</v>
      </c>
      <c r="AG187" s="149">
        <v>0.872</v>
      </c>
      <c r="AH187" s="149">
        <v>30.7</v>
      </c>
      <c r="AI187" s="149">
        <v>37.700000000000003</v>
      </c>
      <c r="AJ187" s="149">
        <v>1264</v>
      </c>
      <c r="AK187" s="148">
        <v>400</v>
      </c>
    </row>
    <row r="188" spans="1:37">
      <c r="A188" s="150" t="s">
        <v>481</v>
      </c>
      <c r="B188" s="149">
        <v>990.1</v>
      </c>
      <c r="C188" s="149">
        <v>300</v>
      </c>
      <c r="D188" s="149">
        <v>16.5</v>
      </c>
      <c r="E188" s="149">
        <v>31</v>
      </c>
      <c r="F188" s="149">
        <v>30</v>
      </c>
      <c r="G188" s="149">
        <v>868.1</v>
      </c>
      <c r="H188" s="149">
        <v>554000</v>
      </c>
      <c r="I188" s="149">
        <v>14000</v>
      </c>
      <c r="J188" s="149">
        <v>11190</v>
      </c>
      <c r="K188" s="149">
        <v>934</v>
      </c>
      <c r="L188" s="149">
        <v>12830</v>
      </c>
      <c r="M188" s="149">
        <v>1470</v>
      </c>
      <c r="N188" s="148">
        <v>347</v>
      </c>
      <c r="O188" s="150" t="s">
        <v>481</v>
      </c>
      <c r="P188" s="149">
        <v>272.3</v>
      </c>
      <c r="Q188" s="149">
        <v>990.1</v>
      </c>
      <c r="R188" s="149">
        <v>300</v>
      </c>
      <c r="S188" s="149">
        <v>16.5</v>
      </c>
      <c r="T188" s="149">
        <v>31</v>
      </c>
      <c r="U188" s="149">
        <v>30</v>
      </c>
      <c r="V188" s="149">
        <v>868.1</v>
      </c>
      <c r="W188" s="149">
        <v>4.84</v>
      </c>
      <c r="X188" s="149">
        <v>52.6</v>
      </c>
      <c r="Y188" s="149">
        <v>554000</v>
      </c>
      <c r="Z188" s="149">
        <v>14000</v>
      </c>
      <c r="AA188" s="149">
        <v>40</v>
      </c>
      <c r="AB188" s="149">
        <v>6.35</v>
      </c>
      <c r="AC188" s="149">
        <v>11190</v>
      </c>
      <c r="AD188" s="149">
        <v>934</v>
      </c>
      <c r="AE188" s="149">
        <v>12830</v>
      </c>
      <c r="AF188" s="149">
        <v>1470</v>
      </c>
      <c r="AG188" s="149">
        <v>0.873</v>
      </c>
      <c r="AH188" s="149">
        <v>35</v>
      </c>
      <c r="AI188" s="149">
        <v>32.200000000000003</v>
      </c>
      <c r="AJ188" s="149">
        <v>835</v>
      </c>
      <c r="AK188" s="148">
        <v>347</v>
      </c>
    </row>
    <row r="189" spans="1:37">
      <c r="A189" s="150" t="s">
        <v>480</v>
      </c>
      <c r="B189" s="149">
        <v>980.2</v>
      </c>
      <c r="C189" s="149">
        <v>300</v>
      </c>
      <c r="D189" s="149">
        <v>16.5</v>
      </c>
      <c r="E189" s="149">
        <v>26</v>
      </c>
      <c r="F189" s="149">
        <v>30</v>
      </c>
      <c r="G189" s="149">
        <v>868.2</v>
      </c>
      <c r="H189" s="149">
        <v>481300</v>
      </c>
      <c r="I189" s="149">
        <v>11750</v>
      </c>
      <c r="J189" s="149">
        <v>9821</v>
      </c>
      <c r="K189" s="149">
        <v>784</v>
      </c>
      <c r="L189" s="149">
        <v>11350</v>
      </c>
      <c r="M189" s="149">
        <v>1245</v>
      </c>
      <c r="N189" s="148">
        <v>317</v>
      </c>
      <c r="O189" s="150" t="s">
        <v>480</v>
      </c>
      <c r="P189" s="149">
        <v>248.7</v>
      </c>
      <c r="Q189" s="149">
        <v>980.2</v>
      </c>
      <c r="R189" s="149">
        <v>300</v>
      </c>
      <c r="S189" s="149">
        <v>16.5</v>
      </c>
      <c r="T189" s="149">
        <v>26</v>
      </c>
      <c r="U189" s="149">
        <v>30</v>
      </c>
      <c r="V189" s="149">
        <v>868.2</v>
      </c>
      <c r="W189" s="149">
        <v>5.77</v>
      </c>
      <c r="X189" s="149">
        <v>52.6</v>
      </c>
      <c r="Y189" s="149">
        <v>481300</v>
      </c>
      <c r="Z189" s="149">
        <v>11750</v>
      </c>
      <c r="AA189" s="149">
        <v>39</v>
      </c>
      <c r="AB189" s="149">
        <v>6.09</v>
      </c>
      <c r="AC189" s="149">
        <v>9821</v>
      </c>
      <c r="AD189" s="149">
        <v>784</v>
      </c>
      <c r="AE189" s="149">
        <v>11350</v>
      </c>
      <c r="AF189" s="149">
        <v>1245</v>
      </c>
      <c r="AG189" s="149">
        <v>0.86099999999999999</v>
      </c>
      <c r="AH189" s="149">
        <v>39.9</v>
      </c>
      <c r="AI189" s="149">
        <v>26.8</v>
      </c>
      <c r="AJ189" s="149">
        <v>582</v>
      </c>
      <c r="AK189" s="148">
        <v>317</v>
      </c>
    </row>
    <row r="190" spans="1:37">
      <c r="A190" s="147" t="s">
        <v>479</v>
      </c>
      <c r="B190" s="146">
        <v>970.3</v>
      </c>
      <c r="C190" s="146">
        <v>300</v>
      </c>
      <c r="D190" s="146">
        <v>16</v>
      </c>
      <c r="E190" s="146">
        <v>21.1</v>
      </c>
      <c r="F190" s="146">
        <v>30</v>
      </c>
      <c r="G190" s="146">
        <v>868.1</v>
      </c>
      <c r="H190" s="146">
        <v>408000</v>
      </c>
      <c r="I190" s="146">
        <v>9546</v>
      </c>
      <c r="J190" s="146">
        <v>8409</v>
      </c>
      <c r="K190" s="146">
        <v>636</v>
      </c>
      <c r="L190" s="146">
        <v>9807</v>
      </c>
      <c r="M190" s="146">
        <v>1020</v>
      </c>
      <c r="N190" s="145">
        <v>283</v>
      </c>
      <c r="O190" s="147" t="s">
        <v>479</v>
      </c>
      <c r="P190" s="146">
        <v>222</v>
      </c>
      <c r="Q190" s="146">
        <v>970.3</v>
      </c>
      <c r="R190" s="146">
        <v>300</v>
      </c>
      <c r="S190" s="146">
        <v>16</v>
      </c>
      <c r="T190" s="146">
        <v>21.1</v>
      </c>
      <c r="U190" s="146">
        <v>30</v>
      </c>
      <c r="V190" s="146">
        <v>868.1</v>
      </c>
      <c r="W190" s="146">
        <v>7.11</v>
      </c>
      <c r="X190" s="146">
        <v>54.3</v>
      </c>
      <c r="Y190" s="146">
        <v>408000</v>
      </c>
      <c r="Z190" s="146">
        <v>9546</v>
      </c>
      <c r="AA190" s="146">
        <v>38</v>
      </c>
      <c r="AB190" s="146">
        <v>5.81</v>
      </c>
      <c r="AC190" s="146">
        <v>8409</v>
      </c>
      <c r="AD190" s="146">
        <v>636</v>
      </c>
      <c r="AE190" s="146">
        <v>9807</v>
      </c>
      <c r="AF190" s="146">
        <v>1020</v>
      </c>
      <c r="AG190" s="146">
        <v>0.85</v>
      </c>
      <c r="AH190" s="146">
        <v>45.7</v>
      </c>
      <c r="AI190" s="146">
        <v>21.5</v>
      </c>
      <c r="AJ190" s="146">
        <v>390</v>
      </c>
      <c r="AK190" s="145">
        <v>283</v>
      </c>
    </row>
    <row r="191" spans="1:37" ht="15.6">
      <c r="A191" s="150" t="s">
        <v>478</v>
      </c>
      <c r="B191" s="149">
        <v>950</v>
      </c>
      <c r="C191" s="149">
        <v>425</v>
      </c>
      <c r="D191" s="149">
        <v>28.4</v>
      </c>
      <c r="E191" s="149">
        <v>51.1</v>
      </c>
      <c r="F191" s="149">
        <v>24.1</v>
      </c>
      <c r="G191" s="149">
        <v>799.6</v>
      </c>
      <c r="H191" s="149">
        <v>1031300</v>
      </c>
      <c r="I191" s="149">
        <v>65560</v>
      </c>
      <c r="J191" s="149">
        <v>21710</v>
      </c>
      <c r="K191" s="149">
        <v>3085</v>
      </c>
      <c r="L191" s="149">
        <v>24830</v>
      </c>
      <c r="M191" s="149">
        <v>4796</v>
      </c>
      <c r="N191" s="148">
        <v>680</v>
      </c>
      <c r="O191" s="150" t="s">
        <v>478</v>
      </c>
      <c r="P191" s="149">
        <v>533.9</v>
      </c>
      <c r="Q191" s="149">
        <v>950</v>
      </c>
      <c r="R191" s="149">
        <v>425</v>
      </c>
      <c r="S191" s="149">
        <v>28.4</v>
      </c>
      <c r="T191" s="149">
        <v>51.1</v>
      </c>
      <c r="U191" s="149">
        <v>24.1</v>
      </c>
      <c r="V191" s="149">
        <v>799.6</v>
      </c>
      <c r="W191" s="149">
        <v>4.16</v>
      </c>
      <c r="X191" s="149">
        <v>28.2</v>
      </c>
      <c r="Y191" s="149">
        <v>1031300</v>
      </c>
      <c r="Z191" s="149">
        <v>65560</v>
      </c>
      <c r="AA191" s="149">
        <v>38.9</v>
      </c>
      <c r="AB191" s="149">
        <v>9.82</v>
      </c>
      <c r="AC191" s="149">
        <v>21710</v>
      </c>
      <c r="AD191" s="149">
        <v>3085</v>
      </c>
      <c r="AE191" s="149">
        <v>24830</v>
      </c>
      <c r="AF191" s="149">
        <v>4796</v>
      </c>
      <c r="AG191" s="149">
        <v>0.88700000000000001</v>
      </c>
      <c r="AH191" s="149">
        <v>19.7</v>
      </c>
      <c r="AI191" s="149">
        <v>132</v>
      </c>
      <c r="AJ191" s="149">
        <v>4516</v>
      </c>
      <c r="AK191" s="148">
        <v>680</v>
      </c>
    </row>
    <row r="192" spans="1:37" ht="15.6">
      <c r="A192" s="150" t="s">
        <v>477</v>
      </c>
      <c r="B192" s="149">
        <v>942</v>
      </c>
      <c r="C192" s="149">
        <v>422</v>
      </c>
      <c r="D192" s="149">
        <v>25.9</v>
      </c>
      <c r="E192" s="149">
        <v>47</v>
      </c>
      <c r="F192" s="149">
        <v>24.1</v>
      </c>
      <c r="G192" s="149">
        <v>799.8</v>
      </c>
      <c r="H192" s="149">
        <v>935500</v>
      </c>
      <c r="I192" s="149">
        <v>59010</v>
      </c>
      <c r="J192" s="149">
        <v>19860</v>
      </c>
      <c r="K192" s="149">
        <v>2797</v>
      </c>
      <c r="L192" s="149">
        <v>22620</v>
      </c>
      <c r="M192" s="149">
        <v>4336</v>
      </c>
      <c r="N192" s="148">
        <v>621</v>
      </c>
      <c r="O192" s="150" t="s">
        <v>477</v>
      </c>
      <c r="P192" s="149">
        <v>487.7</v>
      </c>
      <c r="Q192" s="149">
        <v>942</v>
      </c>
      <c r="R192" s="149">
        <v>422</v>
      </c>
      <c r="S192" s="149">
        <v>25.9</v>
      </c>
      <c r="T192" s="149">
        <v>47</v>
      </c>
      <c r="U192" s="149">
        <v>24.1</v>
      </c>
      <c r="V192" s="149">
        <v>799.8</v>
      </c>
      <c r="W192" s="149">
        <v>4.49</v>
      </c>
      <c r="X192" s="149">
        <v>30.9</v>
      </c>
      <c r="Y192" s="149">
        <v>935500</v>
      </c>
      <c r="Z192" s="149">
        <v>59010</v>
      </c>
      <c r="AA192" s="149">
        <v>38.799999999999997</v>
      </c>
      <c r="AB192" s="149">
        <v>9.75</v>
      </c>
      <c r="AC192" s="149">
        <v>19860</v>
      </c>
      <c r="AD192" s="149">
        <v>2797</v>
      </c>
      <c r="AE192" s="149">
        <v>22620</v>
      </c>
      <c r="AF192" s="149">
        <v>4336</v>
      </c>
      <c r="AG192" s="149">
        <v>0.88700000000000001</v>
      </c>
      <c r="AH192" s="149">
        <v>21.3</v>
      </c>
      <c r="AI192" s="149">
        <v>118</v>
      </c>
      <c r="AJ192" s="149">
        <v>3499</v>
      </c>
      <c r="AK192" s="148">
        <v>621</v>
      </c>
    </row>
    <row r="193" spans="1:37" ht="15.6">
      <c r="A193" s="150" t="s">
        <v>476</v>
      </c>
      <c r="B193" s="149">
        <v>933.2</v>
      </c>
      <c r="C193" s="149">
        <v>423</v>
      </c>
      <c r="D193" s="149">
        <v>24</v>
      </c>
      <c r="E193" s="149">
        <v>42.7</v>
      </c>
      <c r="F193" s="149">
        <v>24.1</v>
      </c>
      <c r="G193" s="149">
        <v>799.6</v>
      </c>
      <c r="H193" s="149">
        <v>847300</v>
      </c>
      <c r="I193" s="149">
        <v>53980</v>
      </c>
      <c r="J193" s="149">
        <v>18160</v>
      </c>
      <c r="K193" s="149">
        <v>2552</v>
      </c>
      <c r="L193" s="149">
        <v>20610</v>
      </c>
      <c r="M193" s="149">
        <v>3951</v>
      </c>
      <c r="N193" s="148">
        <v>570</v>
      </c>
      <c r="O193" s="150" t="s">
        <v>476</v>
      </c>
      <c r="P193" s="149">
        <v>447.2</v>
      </c>
      <c r="Q193" s="149">
        <v>933.2</v>
      </c>
      <c r="R193" s="149">
        <v>423</v>
      </c>
      <c r="S193" s="149">
        <v>24</v>
      </c>
      <c r="T193" s="149">
        <v>42.7</v>
      </c>
      <c r="U193" s="149">
        <v>24.1</v>
      </c>
      <c r="V193" s="149">
        <v>799.6</v>
      </c>
      <c r="W193" s="149">
        <v>4.95</v>
      </c>
      <c r="X193" s="149">
        <v>33.299999999999997</v>
      </c>
      <c r="Y193" s="149">
        <v>847300</v>
      </c>
      <c r="Z193" s="149">
        <v>53980</v>
      </c>
      <c r="AA193" s="149">
        <v>38.6</v>
      </c>
      <c r="AB193" s="149">
        <v>9.73</v>
      </c>
      <c r="AC193" s="149">
        <v>18160</v>
      </c>
      <c r="AD193" s="149">
        <v>2552</v>
      </c>
      <c r="AE193" s="149">
        <v>20610</v>
      </c>
      <c r="AF193" s="149">
        <v>3951</v>
      </c>
      <c r="AG193" s="149">
        <v>0.88700000000000001</v>
      </c>
      <c r="AH193" s="149">
        <v>23.3</v>
      </c>
      <c r="AI193" s="149">
        <v>107</v>
      </c>
      <c r="AJ193" s="149">
        <v>2675</v>
      </c>
      <c r="AK193" s="148">
        <v>570</v>
      </c>
    </row>
    <row r="194" spans="1:37" ht="15.6">
      <c r="A194" s="150" t="s">
        <v>475</v>
      </c>
      <c r="B194" s="149">
        <v>927.6</v>
      </c>
      <c r="C194" s="149">
        <v>421.5</v>
      </c>
      <c r="D194" s="149">
        <v>22.5</v>
      </c>
      <c r="E194" s="149">
        <v>39.9</v>
      </c>
      <c r="F194" s="149">
        <v>24.1</v>
      </c>
      <c r="G194" s="149">
        <v>799.6</v>
      </c>
      <c r="H194" s="149">
        <v>786100</v>
      </c>
      <c r="I194" s="149">
        <v>49890</v>
      </c>
      <c r="J194" s="149">
        <v>16950</v>
      </c>
      <c r="K194" s="149">
        <v>2367</v>
      </c>
      <c r="L194" s="149">
        <v>19180</v>
      </c>
      <c r="M194" s="149">
        <v>3660</v>
      </c>
      <c r="N194" s="148">
        <v>532</v>
      </c>
      <c r="O194" s="150" t="s">
        <v>475</v>
      </c>
      <c r="P194" s="149">
        <v>417.7</v>
      </c>
      <c r="Q194" s="149">
        <v>927.6</v>
      </c>
      <c r="R194" s="149">
        <v>421.5</v>
      </c>
      <c r="S194" s="149">
        <v>22.5</v>
      </c>
      <c r="T194" s="149">
        <v>39.9</v>
      </c>
      <c r="U194" s="149">
        <v>24.1</v>
      </c>
      <c r="V194" s="149">
        <v>799.6</v>
      </c>
      <c r="W194" s="149">
        <v>5.28</v>
      </c>
      <c r="X194" s="149">
        <v>35.5</v>
      </c>
      <c r="Y194" s="149">
        <v>786100</v>
      </c>
      <c r="Z194" s="149">
        <v>49890</v>
      </c>
      <c r="AA194" s="149">
        <v>38.4</v>
      </c>
      <c r="AB194" s="149">
        <v>9.68</v>
      </c>
      <c r="AC194" s="149">
        <v>16950</v>
      </c>
      <c r="AD194" s="149">
        <v>2367</v>
      </c>
      <c r="AE194" s="149">
        <v>19180</v>
      </c>
      <c r="AF194" s="149">
        <v>3660</v>
      </c>
      <c r="AG194" s="149">
        <v>0.88700000000000001</v>
      </c>
      <c r="AH194" s="149">
        <v>24.8</v>
      </c>
      <c r="AI194" s="149">
        <v>98.3</v>
      </c>
      <c r="AJ194" s="149">
        <v>2191</v>
      </c>
      <c r="AK194" s="148">
        <v>532</v>
      </c>
    </row>
    <row r="195" spans="1:37" ht="15.6">
      <c r="A195" s="150" t="s">
        <v>474</v>
      </c>
      <c r="B195" s="149">
        <v>921</v>
      </c>
      <c r="C195" s="149">
        <v>420.4</v>
      </c>
      <c r="D195" s="149">
        <v>21.3</v>
      </c>
      <c r="E195" s="149">
        <v>36.6</v>
      </c>
      <c r="F195" s="149">
        <v>24.1</v>
      </c>
      <c r="G195" s="149">
        <v>799.6</v>
      </c>
      <c r="H195" s="149">
        <v>719000</v>
      </c>
      <c r="I195" s="149">
        <v>45410</v>
      </c>
      <c r="J195" s="149">
        <v>15610</v>
      </c>
      <c r="K195" s="149">
        <v>2160</v>
      </c>
      <c r="L195" s="149">
        <v>17640</v>
      </c>
      <c r="M195" s="149">
        <v>3338</v>
      </c>
      <c r="N195" s="148">
        <v>493</v>
      </c>
      <c r="O195" s="150" t="s">
        <v>474</v>
      </c>
      <c r="P195" s="149">
        <v>387.2</v>
      </c>
      <c r="Q195" s="149">
        <v>921</v>
      </c>
      <c r="R195" s="149">
        <v>420.4</v>
      </c>
      <c r="S195" s="149">
        <v>21.3</v>
      </c>
      <c r="T195" s="149">
        <v>36.6</v>
      </c>
      <c r="U195" s="149">
        <v>24.1</v>
      </c>
      <c r="V195" s="149">
        <v>799.6</v>
      </c>
      <c r="W195" s="149">
        <v>5.74</v>
      </c>
      <c r="X195" s="149">
        <v>37.5</v>
      </c>
      <c r="Y195" s="149">
        <v>719000</v>
      </c>
      <c r="Z195" s="149">
        <v>45410</v>
      </c>
      <c r="AA195" s="149">
        <v>38.200000000000003</v>
      </c>
      <c r="AB195" s="149">
        <v>9.59</v>
      </c>
      <c r="AC195" s="149">
        <v>15610</v>
      </c>
      <c r="AD195" s="149">
        <v>2160</v>
      </c>
      <c r="AE195" s="149">
        <v>17640</v>
      </c>
      <c r="AF195" s="149">
        <v>3338</v>
      </c>
      <c r="AG195" s="149">
        <v>0.88500000000000001</v>
      </c>
      <c r="AH195" s="149">
        <v>26.7</v>
      </c>
      <c r="AI195" s="149">
        <v>88.8</v>
      </c>
      <c r="AJ195" s="149">
        <v>1729</v>
      </c>
      <c r="AK195" s="148">
        <v>493</v>
      </c>
    </row>
    <row r="196" spans="1:37" ht="15.6">
      <c r="A196" s="150" t="s">
        <v>473</v>
      </c>
      <c r="B196" s="149">
        <v>916.4</v>
      </c>
      <c r="C196" s="149">
        <v>419.4</v>
      </c>
      <c r="D196" s="149">
        <v>20.3</v>
      </c>
      <c r="E196" s="149">
        <v>34.299999999999997</v>
      </c>
      <c r="F196" s="149">
        <v>24.1</v>
      </c>
      <c r="G196" s="149">
        <v>799.6</v>
      </c>
      <c r="H196" s="149">
        <v>671800</v>
      </c>
      <c r="I196" s="149">
        <v>42240</v>
      </c>
      <c r="J196" s="149">
        <v>14660</v>
      </c>
      <c r="K196" s="149">
        <v>2015</v>
      </c>
      <c r="L196" s="149">
        <v>16550</v>
      </c>
      <c r="M196" s="149">
        <v>3112</v>
      </c>
      <c r="N196" s="148">
        <v>465</v>
      </c>
      <c r="O196" s="150" t="s">
        <v>473</v>
      </c>
      <c r="P196" s="149">
        <v>364.9</v>
      </c>
      <c r="Q196" s="149">
        <v>916.4</v>
      </c>
      <c r="R196" s="149">
        <v>419.4</v>
      </c>
      <c r="S196" s="149">
        <v>20.3</v>
      </c>
      <c r="T196" s="149">
        <v>34.299999999999997</v>
      </c>
      <c r="U196" s="149">
        <v>24.1</v>
      </c>
      <c r="V196" s="149">
        <v>799.6</v>
      </c>
      <c r="W196" s="149">
        <v>6.11</v>
      </c>
      <c r="X196" s="149">
        <v>39.4</v>
      </c>
      <c r="Y196" s="149">
        <v>671800</v>
      </c>
      <c r="Z196" s="149">
        <v>42240</v>
      </c>
      <c r="AA196" s="149">
        <v>38</v>
      </c>
      <c r="AB196" s="149">
        <v>9.5299999999999994</v>
      </c>
      <c r="AC196" s="149">
        <v>14660</v>
      </c>
      <c r="AD196" s="149">
        <v>2015</v>
      </c>
      <c r="AE196" s="149">
        <v>16550</v>
      </c>
      <c r="AF196" s="149">
        <v>3112</v>
      </c>
      <c r="AG196" s="149">
        <v>0.88400000000000001</v>
      </c>
      <c r="AH196" s="149">
        <v>28.3</v>
      </c>
      <c r="AI196" s="149">
        <v>82.2</v>
      </c>
      <c r="AJ196" s="149">
        <v>1442</v>
      </c>
      <c r="AK196" s="148">
        <v>465</v>
      </c>
    </row>
    <row r="197" spans="1:37" ht="15.6">
      <c r="A197" s="150" t="s">
        <v>472</v>
      </c>
      <c r="B197" s="149">
        <v>911.9</v>
      </c>
      <c r="C197" s="149">
        <v>418.3</v>
      </c>
      <c r="D197" s="149">
        <v>19.3</v>
      </c>
      <c r="E197" s="149">
        <v>32</v>
      </c>
      <c r="F197" s="149">
        <v>24.1</v>
      </c>
      <c r="G197" s="149">
        <v>799.7</v>
      </c>
      <c r="H197" s="149">
        <v>625200</v>
      </c>
      <c r="I197" s="149">
        <v>39100</v>
      </c>
      <c r="J197" s="149">
        <v>13710</v>
      </c>
      <c r="K197" s="149">
        <v>1869</v>
      </c>
      <c r="L197" s="149">
        <v>15460</v>
      </c>
      <c r="M197" s="149">
        <v>2886</v>
      </c>
      <c r="N197" s="148">
        <v>436</v>
      </c>
      <c r="O197" s="150" t="s">
        <v>472</v>
      </c>
      <c r="P197" s="149">
        <v>342.5</v>
      </c>
      <c r="Q197" s="149">
        <v>911.9</v>
      </c>
      <c r="R197" s="149">
        <v>418.3</v>
      </c>
      <c r="S197" s="149">
        <v>19.3</v>
      </c>
      <c r="T197" s="149">
        <v>32</v>
      </c>
      <c r="U197" s="149">
        <v>24.1</v>
      </c>
      <c r="V197" s="149">
        <v>799.7</v>
      </c>
      <c r="W197" s="149">
        <v>6.54</v>
      </c>
      <c r="X197" s="149">
        <v>41.4</v>
      </c>
      <c r="Y197" s="149">
        <v>625200</v>
      </c>
      <c r="Z197" s="149">
        <v>39100</v>
      </c>
      <c r="AA197" s="149">
        <v>37.9</v>
      </c>
      <c r="AB197" s="149">
        <v>9.4700000000000006</v>
      </c>
      <c r="AC197" s="149">
        <v>13710</v>
      </c>
      <c r="AD197" s="149">
        <v>1869</v>
      </c>
      <c r="AE197" s="149">
        <v>15460</v>
      </c>
      <c r="AF197" s="149">
        <v>2886</v>
      </c>
      <c r="AG197" s="149">
        <v>0.88300000000000001</v>
      </c>
      <c r="AH197" s="149">
        <v>30.2</v>
      </c>
      <c r="AI197" s="149">
        <v>75.7</v>
      </c>
      <c r="AJ197" s="149">
        <v>1189</v>
      </c>
      <c r="AK197" s="148">
        <v>436</v>
      </c>
    </row>
    <row r="198" spans="1:37">
      <c r="A198" s="150" t="s">
        <v>471</v>
      </c>
      <c r="B198" s="149">
        <v>992.9</v>
      </c>
      <c r="C198" s="149">
        <v>321.8</v>
      </c>
      <c r="D198" s="149">
        <v>36.1</v>
      </c>
      <c r="E198" s="149">
        <v>65</v>
      </c>
      <c r="F198" s="149">
        <v>20</v>
      </c>
      <c r="G198" s="149">
        <v>822.9</v>
      </c>
      <c r="H198" s="149">
        <v>1101500</v>
      </c>
      <c r="I198" s="149">
        <v>36460</v>
      </c>
      <c r="J198" s="149">
        <v>22190</v>
      </c>
      <c r="K198" s="149">
        <v>2266</v>
      </c>
      <c r="L198" s="149">
        <v>26280</v>
      </c>
      <c r="M198" s="149">
        <v>3654</v>
      </c>
      <c r="N198" s="148">
        <v>733</v>
      </c>
      <c r="O198" s="150" t="s">
        <v>471</v>
      </c>
      <c r="P198" s="149">
        <v>575.6</v>
      </c>
      <c r="Q198" s="149">
        <v>992.9</v>
      </c>
      <c r="R198" s="149">
        <v>321.8</v>
      </c>
      <c r="S198" s="149">
        <v>36.1</v>
      </c>
      <c r="T198" s="149">
        <v>65</v>
      </c>
      <c r="U198" s="149">
        <v>20</v>
      </c>
      <c r="V198" s="149">
        <v>822.9</v>
      </c>
      <c r="W198" s="149">
        <v>2.48</v>
      </c>
      <c r="X198" s="149">
        <v>22.8</v>
      </c>
      <c r="Y198" s="149">
        <v>1101500</v>
      </c>
      <c r="Z198" s="149">
        <v>36460</v>
      </c>
      <c r="AA198" s="149">
        <v>38.799999999999997</v>
      </c>
      <c r="AB198" s="149">
        <v>7.05</v>
      </c>
      <c r="AC198" s="149">
        <v>22190</v>
      </c>
      <c r="AD198" s="149">
        <v>2266</v>
      </c>
      <c r="AE198" s="149">
        <v>26280</v>
      </c>
      <c r="AF198" s="149">
        <v>3654</v>
      </c>
      <c r="AG198" s="149">
        <v>0.871</v>
      </c>
      <c r="AH198" s="149">
        <v>16.8</v>
      </c>
      <c r="AI198" s="149">
        <v>78.5</v>
      </c>
      <c r="AJ198" s="149">
        <v>7150</v>
      </c>
      <c r="AK198" s="148">
        <v>733</v>
      </c>
    </row>
    <row r="199" spans="1:37">
      <c r="A199" s="150" t="s">
        <v>470</v>
      </c>
      <c r="B199" s="149">
        <v>980.7</v>
      </c>
      <c r="C199" s="149">
        <v>318.8</v>
      </c>
      <c r="D199" s="149">
        <v>33</v>
      </c>
      <c r="E199" s="149">
        <v>58.9</v>
      </c>
      <c r="F199" s="149">
        <v>20</v>
      </c>
      <c r="G199" s="149">
        <v>822.9</v>
      </c>
      <c r="H199" s="149">
        <v>981800</v>
      </c>
      <c r="I199" s="149">
        <v>32080</v>
      </c>
      <c r="J199" s="149">
        <v>20020</v>
      </c>
      <c r="K199" s="149">
        <v>2013</v>
      </c>
      <c r="L199" s="149">
        <v>23600</v>
      </c>
      <c r="M199" s="149">
        <v>3235</v>
      </c>
      <c r="N199" s="148">
        <v>664</v>
      </c>
      <c r="O199" s="150" t="s">
        <v>470</v>
      </c>
      <c r="P199" s="149">
        <v>521</v>
      </c>
      <c r="Q199" s="149">
        <v>980.7</v>
      </c>
      <c r="R199" s="149">
        <v>318.8</v>
      </c>
      <c r="S199" s="149">
        <v>33</v>
      </c>
      <c r="T199" s="149">
        <v>58.9</v>
      </c>
      <c r="U199" s="149">
        <v>20</v>
      </c>
      <c r="V199" s="149">
        <v>822.9</v>
      </c>
      <c r="W199" s="149">
        <v>2.71</v>
      </c>
      <c r="X199" s="149">
        <v>24.9</v>
      </c>
      <c r="Y199" s="149">
        <v>981800</v>
      </c>
      <c r="Z199" s="149">
        <v>32080</v>
      </c>
      <c r="AA199" s="149">
        <v>38.5</v>
      </c>
      <c r="AB199" s="149">
        <v>6.95</v>
      </c>
      <c r="AC199" s="149">
        <v>20020</v>
      </c>
      <c r="AD199" s="149">
        <v>2013</v>
      </c>
      <c r="AE199" s="149">
        <v>23600</v>
      </c>
      <c r="AF199" s="149">
        <v>3235</v>
      </c>
      <c r="AG199" s="149">
        <v>0.871</v>
      </c>
      <c r="AH199" s="149">
        <v>18.399999999999999</v>
      </c>
      <c r="AI199" s="149">
        <v>68.099999999999994</v>
      </c>
      <c r="AJ199" s="149">
        <v>5355</v>
      </c>
      <c r="AK199" s="148">
        <v>664</v>
      </c>
    </row>
    <row r="200" spans="1:37">
      <c r="A200" s="150" t="s">
        <v>469</v>
      </c>
      <c r="B200" s="149">
        <v>970.8</v>
      </c>
      <c r="C200" s="149">
        <v>315.7</v>
      </c>
      <c r="D200" s="149">
        <v>29.9</v>
      </c>
      <c r="E200" s="149">
        <v>54.1</v>
      </c>
      <c r="F200" s="149">
        <v>20</v>
      </c>
      <c r="G200" s="149">
        <v>822.6</v>
      </c>
      <c r="H200" s="149">
        <v>884600</v>
      </c>
      <c r="I200" s="149">
        <v>28580</v>
      </c>
      <c r="J200" s="149">
        <v>18220</v>
      </c>
      <c r="K200" s="149">
        <v>1810</v>
      </c>
      <c r="L200" s="149">
        <v>21370</v>
      </c>
      <c r="M200" s="149">
        <v>2895</v>
      </c>
      <c r="N200" s="148">
        <v>603</v>
      </c>
      <c r="O200" s="150" t="s">
        <v>469</v>
      </c>
      <c r="P200" s="149">
        <v>473.3</v>
      </c>
      <c r="Q200" s="149">
        <v>970.8</v>
      </c>
      <c r="R200" s="149">
        <v>315.7</v>
      </c>
      <c r="S200" s="149">
        <v>29.9</v>
      </c>
      <c r="T200" s="149">
        <v>54.1</v>
      </c>
      <c r="U200" s="149">
        <v>20</v>
      </c>
      <c r="V200" s="149">
        <v>822.6</v>
      </c>
      <c r="W200" s="149">
        <v>2.92</v>
      </c>
      <c r="X200" s="149">
        <v>27.5</v>
      </c>
      <c r="Y200" s="149">
        <v>884600</v>
      </c>
      <c r="Z200" s="149">
        <v>28580</v>
      </c>
      <c r="AA200" s="149">
        <v>38.299999999999997</v>
      </c>
      <c r="AB200" s="149">
        <v>6.88</v>
      </c>
      <c r="AC200" s="149">
        <v>18220</v>
      </c>
      <c r="AD200" s="149">
        <v>1810</v>
      </c>
      <c r="AE200" s="149">
        <v>21370</v>
      </c>
      <c r="AF200" s="149">
        <v>2895</v>
      </c>
      <c r="AG200" s="149">
        <v>0.872</v>
      </c>
      <c r="AH200" s="149">
        <v>19.899999999999999</v>
      </c>
      <c r="AI200" s="149">
        <v>60</v>
      </c>
      <c r="AJ200" s="149">
        <v>4106</v>
      </c>
      <c r="AK200" s="148">
        <v>603</v>
      </c>
    </row>
    <row r="201" spans="1:37">
      <c r="A201" s="150" t="s">
        <v>468</v>
      </c>
      <c r="B201" s="149">
        <v>960.9</v>
      </c>
      <c r="C201" s="149">
        <v>312.8</v>
      </c>
      <c r="D201" s="149">
        <v>26.9</v>
      </c>
      <c r="E201" s="149">
        <v>49</v>
      </c>
      <c r="F201" s="149">
        <v>20</v>
      </c>
      <c r="G201" s="149">
        <v>822.9</v>
      </c>
      <c r="H201" s="149">
        <v>788200</v>
      </c>
      <c r="I201" s="149">
        <v>25150</v>
      </c>
      <c r="J201" s="149">
        <v>16410</v>
      </c>
      <c r="K201" s="149">
        <v>1608</v>
      </c>
      <c r="L201" s="149">
        <v>19130</v>
      </c>
      <c r="M201" s="149">
        <v>2559</v>
      </c>
      <c r="N201" s="148">
        <v>542</v>
      </c>
      <c r="O201" s="150" t="s">
        <v>468</v>
      </c>
      <c r="P201" s="149">
        <v>425.5</v>
      </c>
      <c r="Q201" s="149">
        <v>960.9</v>
      </c>
      <c r="R201" s="149">
        <v>312.8</v>
      </c>
      <c r="S201" s="149">
        <v>26.9</v>
      </c>
      <c r="T201" s="149">
        <v>49</v>
      </c>
      <c r="U201" s="149">
        <v>20</v>
      </c>
      <c r="V201" s="149">
        <v>822.9</v>
      </c>
      <c r="W201" s="149">
        <v>3.19</v>
      </c>
      <c r="X201" s="149">
        <v>30.6</v>
      </c>
      <c r="Y201" s="149">
        <v>788200</v>
      </c>
      <c r="Z201" s="149">
        <v>25150</v>
      </c>
      <c r="AA201" s="149">
        <v>38.1</v>
      </c>
      <c r="AB201" s="149">
        <v>6.81</v>
      </c>
      <c r="AC201" s="149">
        <v>16410</v>
      </c>
      <c r="AD201" s="149">
        <v>1608</v>
      </c>
      <c r="AE201" s="149">
        <v>19130</v>
      </c>
      <c r="AF201" s="149">
        <v>2559</v>
      </c>
      <c r="AG201" s="149">
        <v>0.873</v>
      </c>
      <c r="AH201" s="149">
        <v>21.8</v>
      </c>
      <c r="AI201" s="149">
        <v>52.3</v>
      </c>
      <c r="AJ201" s="149">
        <v>3039</v>
      </c>
      <c r="AK201" s="148">
        <v>542</v>
      </c>
    </row>
    <row r="202" spans="1:37">
      <c r="A202" s="150" t="s">
        <v>467</v>
      </c>
      <c r="B202" s="149">
        <v>950.7</v>
      </c>
      <c r="C202" s="149">
        <v>310.3</v>
      </c>
      <c r="D202" s="149">
        <v>24.4</v>
      </c>
      <c r="E202" s="149">
        <v>43.9</v>
      </c>
      <c r="F202" s="149">
        <v>20</v>
      </c>
      <c r="G202" s="149">
        <v>822.9</v>
      </c>
      <c r="H202" s="149">
        <v>697400</v>
      </c>
      <c r="I202" s="149">
        <v>21970</v>
      </c>
      <c r="J202" s="149">
        <v>14670</v>
      </c>
      <c r="K202" s="149">
        <v>1416</v>
      </c>
      <c r="L202" s="149">
        <v>17040</v>
      </c>
      <c r="M202" s="149">
        <v>2248</v>
      </c>
      <c r="N202" s="148">
        <v>486</v>
      </c>
      <c r="O202" s="150" t="s">
        <v>467</v>
      </c>
      <c r="P202" s="149">
        <v>381.8</v>
      </c>
      <c r="Q202" s="149">
        <v>950.7</v>
      </c>
      <c r="R202" s="149">
        <v>310.3</v>
      </c>
      <c r="S202" s="149">
        <v>24.4</v>
      </c>
      <c r="T202" s="149">
        <v>43.9</v>
      </c>
      <c r="U202" s="149">
        <v>20</v>
      </c>
      <c r="V202" s="149">
        <v>822.9</v>
      </c>
      <c r="W202" s="149">
        <v>3.53</v>
      </c>
      <c r="X202" s="149">
        <v>33.700000000000003</v>
      </c>
      <c r="Y202" s="149">
        <v>697400</v>
      </c>
      <c r="Z202" s="149">
        <v>21970</v>
      </c>
      <c r="AA202" s="149">
        <v>37.9</v>
      </c>
      <c r="AB202" s="149">
        <v>6.72</v>
      </c>
      <c r="AC202" s="149">
        <v>14670</v>
      </c>
      <c r="AD202" s="149">
        <v>1416</v>
      </c>
      <c r="AE202" s="149">
        <v>17040</v>
      </c>
      <c r="AF202" s="149">
        <v>2248</v>
      </c>
      <c r="AG202" s="149">
        <v>0.872</v>
      </c>
      <c r="AH202" s="149">
        <v>24.1</v>
      </c>
      <c r="AI202" s="149">
        <v>45.2</v>
      </c>
      <c r="AJ202" s="149">
        <v>2208</v>
      </c>
      <c r="AK202" s="148">
        <v>486</v>
      </c>
    </row>
    <row r="203" spans="1:37">
      <c r="A203" s="150" t="s">
        <v>466</v>
      </c>
      <c r="B203" s="149">
        <v>942.9</v>
      </c>
      <c r="C203" s="149">
        <v>307.8</v>
      </c>
      <c r="D203" s="149">
        <v>22.1</v>
      </c>
      <c r="E203" s="149">
        <v>39.9</v>
      </c>
      <c r="F203" s="149">
        <v>20</v>
      </c>
      <c r="G203" s="149">
        <v>823.1</v>
      </c>
      <c r="H203" s="149">
        <v>625700</v>
      </c>
      <c r="I203" s="149">
        <v>19480</v>
      </c>
      <c r="J203" s="149">
        <v>13270</v>
      </c>
      <c r="K203" s="149">
        <v>1266</v>
      </c>
      <c r="L203" s="149">
        <v>15350</v>
      </c>
      <c r="M203" s="149">
        <v>2001</v>
      </c>
      <c r="N203" s="148">
        <v>440</v>
      </c>
      <c r="O203" s="150" t="s">
        <v>466</v>
      </c>
      <c r="P203" s="149">
        <v>345.2</v>
      </c>
      <c r="Q203" s="149">
        <v>942.9</v>
      </c>
      <c r="R203" s="149">
        <v>307.8</v>
      </c>
      <c r="S203" s="149">
        <v>22.1</v>
      </c>
      <c r="T203" s="149">
        <v>39.9</v>
      </c>
      <c r="U203" s="149">
        <v>20</v>
      </c>
      <c r="V203" s="149">
        <v>823.1</v>
      </c>
      <c r="W203" s="149">
        <v>3.86</v>
      </c>
      <c r="X203" s="149">
        <v>37.200000000000003</v>
      </c>
      <c r="Y203" s="149">
        <v>625700</v>
      </c>
      <c r="Z203" s="149">
        <v>19480</v>
      </c>
      <c r="AA203" s="149">
        <v>37.700000000000003</v>
      </c>
      <c r="AB203" s="149">
        <v>6.66</v>
      </c>
      <c r="AC203" s="149">
        <v>13270</v>
      </c>
      <c r="AD203" s="149">
        <v>1266</v>
      </c>
      <c r="AE203" s="149">
        <v>15350</v>
      </c>
      <c r="AF203" s="149">
        <v>2001</v>
      </c>
      <c r="AG203" s="149">
        <v>0.872</v>
      </c>
      <c r="AH203" s="149">
        <v>26.3</v>
      </c>
      <c r="AI203" s="149">
        <v>39.700000000000003</v>
      </c>
      <c r="AJ203" s="149">
        <v>1656</v>
      </c>
      <c r="AK203" s="148">
        <v>440</v>
      </c>
    </row>
    <row r="204" spans="1:37">
      <c r="A204" s="150" t="s">
        <v>465</v>
      </c>
      <c r="B204" s="149">
        <v>931.9</v>
      </c>
      <c r="C204" s="149">
        <v>309.39999999999998</v>
      </c>
      <c r="D204" s="149">
        <v>21.1</v>
      </c>
      <c r="E204" s="149">
        <v>34.5</v>
      </c>
      <c r="F204" s="149">
        <v>20</v>
      </c>
      <c r="G204" s="149">
        <v>822.9</v>
      </c>
      <c r="H204" s="149">
        <v>549300</v>
      </c>
      <c r="I204" s="149">
        <v>17110</v>
      </c>
      <c r="J204" s="149">
        <v>11790</v>
      </c>
      <c r="K204" s="149">
        <v>1106</v>
      </c>
      <c r="L204" s="149">
        <v>13650</v>
      </c>
      <c r="M204" s="149">
        <v>1753</v>
      </c>
      <c r="N204" s="148">
        <v>399</v>
      </c>
      <c r="O204" s="150" t="s">
        <v>465</v>
      </c>
      <c r="P204" s="149">
        <v>313.2</v>
      </c>
      <c r="Q204" s="149">
        <v>931.9</v>
      </c>
      <c r="R204" s="149">
        <v>309.39999999999998</v>
      </c>
      <c r="S204" s="149">
        <v>21.1</v>
      </c>
      <c r="T204" s="149">
        <v>34.5</v>
      </c>
      <c r="U204" s="149">
        <v>20</v>
      </c>
      <c r="V204" s="149">
        <v>822.9</v>
      </c>
      <c r="W204" s="149">
        <v>4.4800000000000004</v>
      </c>
      <c r="X204" s="149">
        <v>39</v>
      </c>
      <c r="Y204" s="149">
        <v>549300</v>
      </c>
      <c r="Z204" s="149">
        <v>17110</v>
      </c>
      <c r="AA204" s="149">
        <v>37.1</v>
      </c>
      <c r="AB204" s="149">
        <v>6.55</v>
      </c>
      <c r="AC204" s="149">
        <v>11790</v>
      </c>
      <c r="AD204" s="149">
        <v>1106</v>
      </c>
      <c r="AE204" s="149">
        <v>13650</v>
      </c>
      <c r="AF204" s="149">
        <v>1753</v>
      </c>
      <c r="AG204" s="149">
        <v>0.86599999999999999</v>
      </c>
      <c r="AH204" s="149">
        <v>29.7</v>
      </c>
      <c r="AI204" s="149">
        <v>34.4</v>
      </c>
      <c r="AJ204" s="149">
        <v>1169</v>
      </c>
      <c r="AK204" s="148">
        <v>399</v>
      </c>
    </row>
    <row r="205" spans="1:37">
      <c r="A205" s="150" t="s">
        <v>464</v>
      </c>
      <c r="B205" s="149">
        <v>926.8</v>
      </c>
      <c r="C205" s="149">
        <v>307.7</v>
      </c>
      <c r="D205" s="149">
        <v>19.399999999999999</v>
      </c>
      <c r="E205" s="149">
        <v>32</v>
      </c>
      <c r="F205" s="149">
        <v>20</v>
      </c>
      <c r="G205" s="149">
        <v>822.8</v>
      </c>
      <c r="H205" s="149">
        <v>504400</v>
      </c>
      <c r="I205" s="149">
        <v>15600</v>
      </c>
      <c r="J205" s="149">
        <v>10890</v>
      </c>
      <c r="K205" s="149">
        <v>1014</v>
      </c>
      <c r="L205" s="149">
        <v>12570</v>
      </c>
      <c r="M205" s="149">
        <v>1601</v>
      </c>
      <c r="N205" s="148">
        <v>368</v>
      </c>
      <c r="O205" s="150" t="s">
        <v>464</v>
      </c>
      <c r="P205" s="149">
        <v>288.7</v>
      </c>
      <c r="Q205" s="149">
        <v>926.8</v>
      </c>
      <c r="R205" s="149">
        <v>307.7</v>
      </c>
      <c r="S205" s="149">
        <v>19.399999999999999</v>
      </c>
      <c r="T205" s="149">
        <v>32</v>
      </c>
      <c r="U205" s="149">
        <v>20</v>
      </c>
      <c r="V205" s="149">
        <v>822.8</v>
      </c>
      <c r="W205" s="149">
        <v>4.8099999999999996</v>
      </c>
      <c r="X205" s="149">
        <v>42.4</v>
      </c>
      <c r="Y205" s="149">
        <v>504400</v>
      </c>
      <c r="Z205" s="149">
        <v>15600</v>
      </c>
      <c r="AA205" s="149">
        <v>37</v>
      </c>
      <c r="AB205" s="149">
        <v>6.51</v>
      </c>
      <c r="AC205" s="149">
        <v>10890</v>
      </c>
      <c r="AD205" s="149">
        <v>1014</v>
      </c>
      <c r="AE205" s="149">
        <v>12570</v>
      </c>
      <c r="AF205" s="149">
        <v>1601</v>
      </c>
      <c r="AG205" s="149">
        <v>0.86699999999999999</v>
      </c>
      <c r="AH205" s="149">
        <v>31.9</v>
      </c>
      <c r="AI205" s="149">
        <v>31.2</v>
      </c>
      <c r="AJ205" s="149">
        <v>928</v>
      </c>
      <c r="AK205" s="148">
        <v>368</v>
      </c>
    </row>
    <row r="206" spans="1:37">
      <c r="A206" s="150" t="s">
        <v>463</v>
      </c>
      <c r="B206" s="149">
        <v>922.8</v>
      </c>
      <c r="C206" s="149">
        <v>306.7</v>
      </c>
      <c r="D206" s="149">
        <v>18.399999999999999</v>
      </c>
      <c r="E206" s="149">
        <v>30</v>
      </c>
      <c r="F206" s="149">
        <v>20</v>
      </c>
      <c r="G206" s="149">
        <v>822.8</v>
      </c>
      <c r="H206" s="149">
        <v>471600</v>
      </c>
      <c r="I206" s="149">
        <v>14480</v>
      </c>
      <c r="J206" s="149">
        <v>10220</v>
      </c>
      <c r="K206" s="149">
        <v>944</v>
      </c>
      <c r="L206" s="149">
        <v>11790</v>
      </c>
      <c r="M206" s="149">
        <v>1489</v>
      </c>
      <c r="N206" s="148">
        <v>346</v>
      </c>
      <c r="O206" s="150" t="s">
        <v>463</v>
      </c>
      <c r="P206" s="149">
        <v>271.8</v>
      </c>
      <c r="Q206" s="149">
        <v>922.8</v>
      </c>
      <c r="R206" s="149">
        <v>306.7</v>
      </c>
      <c r="S206" s="149">
        <v>18.399999999999999</v>
      </c>
      <c r="T206" s="149">
        <v>30</v>
      </c>
      <c r="U206" s="149">
        <v>20</v>
      </c>
      <c r="V206" s="149">
        <v>822.8</v>
      </c>
      <c r="W206" s="149">
        <v>5.1100000000000003</v>
      </c>
      <c r="X206" s="149">
        <v>44.7</v>
      </c>
      <c r="Y206" s="149">
        <v>471600</v>
      </c>
      <c r="Z206" s="149">
        <v>14480</v>
      </c>
      <c r="AA206" s="149">
        <v>36.9</v>
      </c>
      <c r="AB206" s="149">
        <v>6.47</v>
      </c>
      <c r="AC206" s="149">
        <v>10220</v>
      </c>
      <c r="AD206" s="149">
        <v>944</v>
      </c>
      <c r="AE206" s="149">
        <v>11790</v>
      </c>
      <c r="AF206" s="149">
        <v>1489</v>
      </c>
      <c r="AG206" s="149">
        <v>0.86599999999999999</v>
      </c>
      <c r="AH206" s="149">
        <v>33.799999999999997</v>
      </c>
      <c r="AI206" s="149">
        <v>28.8</v>
      </c>
      <c r="AJ206" s="149">
        <v>774</v>
      </c>
      <c r="AK206" s="148">
        <v>346</v>
      </c>
    </row>
    <row r="207" spans="1:37">
      <c r="A207" s="150" t="s">
        <v>462</v>
      </c>
      <c r="B207" s="149">
        <v>918.7</v>
      </c>
      <c r="C207" s="149">
        <v>305.60000000000002</v>
      </c>
      <c r="D207" s="149">
        <v>17.3</v>
      </c>
      <c r="E207" s="149">
        <v>27.9</v>
      </c>
      <c r="F207" s="149">
        <v>20</v>
      </c>
      <c r="G207" s="149">
        <v>822.9</v>
      </c>
      <c r="H207" s="149">
        <v>437300</v>
      </c>
      <c r="I207" s="149">
        <v>13310</v>
      </c>
      <c r="J207" s="149">
        <v>9520</v>
      </c>
      <c r="K207" s="149">
        <v>871</v>
      </c>
      <c r="L207" s="149">
        <v>10960</v>
      </c>
      <c r="M207" s="149">
        <v>1372</v>
      </c>
      <c r="N207" s="148">
        <v>323</v>
      </c>
      <c r="O207" s="150" t="s">
        <v>462</v>
      </c>
      <c r="P207" s="149">
        <v>253.7</v>
      </c>
      <c r="Q207" s="149">
        <v>918.7</v>
      </c>
      <c r="R207" s="149">
        <v>305.60000000000002</v>
      </c>
      <c r="S207" s="149">
        <v>17.3</v>
      </c>
      <c r="T207" s="149">
        <v>27.9</v>
      </c>
      <c r="U207" s="149">
        <v>20</v>
      </c>
      <c r="V207" s="149">
        <v>822.9</v>
      </c>
      <c r="W207" s="149">
        <v>5.48</v>
      </c>
      <c r="X207" s="149">
        <v>47.6</v>
      </c>
      <c r="Y207" s="149">
        <v>437300</v>
      </c>
      <c r="Z207" s="149">
        <v>13310</v>
      </c>
      <c r="AA207" s="149">
        <v>36.799999999999997</v>
      </c>
      <c r="AB207" s="149">
        <v>6.42</v>
      </c>
      <c r="AC207" s="149">
        <v>9520</v>
      </c>
      <c r="AD207" s="149">
        <v>871</v>
      </c>
      <c r="AE207" s="149">
        <v>10960</v>
      </c>
      <c r="AF207" s="149">
        <v>1372</v>
      </c>
      <c r="AG207" s="149">
        <v>0.86599999999999999</v>
      </c>
      <c r="AH207" s="149">
        <v>36.1</v>
      </c>
      <c r="AI207" s="149">
        <v>26.4</v>
      </c>
      <c r="AJ207" s="149">
        <v>630</v>
      </c>
      <c r="AK207" s="148">
        <v>323</v>
      </c>
    </row>
    <row r="208" spans="1:37">
      <c r="A208" s="150" t="s">
        <v>461</v>
      </c>
      <c r="B208" s="149">
        <v>914.7</v>
      </c>
      <c r="C208" s="149">
        <v>304.8</v>
      </c>
      <c r="D208" s="149">
        <v>16.5</v>
      </c>
      <c r="E208" s="149">
        <v>25.9</v>
      </c>
      <c r="F208" s="149">
        <v>20</v>
      </c>
      <c r="G208" s="149">
        <v>822.9</v>
      </c>
      <c r="H208" s="149">
        <v>406500</v>
      </c>
      <c r="I208" s="149">
        <v>12260</v>
      </c>
      <c r="J208" s="149">
        <v>8888</v>
      </c>
      <c r="K208" s="149">
        <v>805</v>
      </c>
      <c r="L208" s="149">
        <v>10230</v>
      </c>
      <c r="M208" s="149">
        <v>1266</v>
      </c>
      <c r="N208" s="148">
        <v>304</v>
      </c>
      <c r="O208" s="150" t="s">
        <v>461</v>
      </c>
      <c r="P208" s="149">
        <v>238.4</v>
      </c>
      <c r="Q208" s="149">
        <v>914.7</v>
      </c>
      <c r="R208" s="149">
        <v>304.8</v>
      </c>
      <c r="S208" s="149">
        <v>16.5</v>
      </c>
      <c r="T208" s="149">
        <v>25.9</v>
      </c>
      <c r="U208" s="149">
        <v>20</v>
      </c>
      <c r="V208" s="149">
        <v>822.9</v>
      </c>
      <c r="W208" s="149">
        <v>5.88</v>
      </c>
      <c r="X208" s="149">
        <v>49.9</v>
      </c>
      <c r="Y208" s="149">
        <v>406500</v>
      </c>
      <c r="Z208" s="149">
        <v>12260</v>
      </c>
      <c r="AA208" s="149">
        <v>36.6</v>
      </c>
      <c r="AB208" s="149">
        <v>6.35</v>
      </c>
      <c r="AC208" s="149">
        <v>8888</v>
      </c>
      <c r="AD208" s="149">
        <v>805</v>
      </c>
      <c r="AE208" s="149">
        <v>10230</v>
      </c>
      <c r="AF208" s="149">
        <v>1266</v>
      </c>
      <c r="AG208" s="149">
        <v>0.86399999999999999</v>
      </c>
      <c r="AH208" s="149">
        <v>38.5</v>
      </c>
      <c r="AI208" s="149">
        <v>24.2</v>
      </c>
      <c r="AJ208" s="149">
        <v>518</v>
      </c>
      <c r="AK208" s="148">
        <v>304</v>
      </c>
    </row>
    <row r="209" spans="1:37">
      <c r="A209" s="150" t="s">
        <v>460</v>
      </c>
      <c r="B209" s="149">
        <v>910.6</v>
      </c>
      <c r="C209" s="149">
        <v>304.2</v>
      </c>
      <c r="D209" s="149">
        <v>15.9</v>
      </c>
      <c r="E209" s="149">
        <v>23.9</v>
      </c>
      <c r="F209" s="149">
        <v>20</v>
      </c>
      <c r="G209" s="149">
        <v>822.8</v>
      </c>
      <c r="H209" s="149">
        <v>377200</v>
      </c>
      <c r="I209" s="149">
        <v>11250</v>
      </c>
      <c r="J209" s="149">
        <v>8286</v>
      </c>
      <c r="K209" s="149">
        <v>739</v>
      </c>
      <c r="L209" s="149">
        <v>9552</v>
      </c>
      <c r="M209" s="149">
        <v>1165</v>
      </c>
      <c r="N209" s="148">
        <v>286</v>
      </c>
      <c r="O209" s="150" t="s">
        <v>460</v>
      </c>
      <c r="P209" s="149">
        <v>224.5</v>
      </c>
      <c r="Q209" s="149">
        <v>910.6</v>
      </c>
      <c r="R209" s="149">
        <v>304.2</v>
      </c>
      <c r="S209" s="149">
        <v>15.9</v>
      </c>
      <c r="T209" s="149">
        <v>23.9</v>
      </c>
      <c r="U209" s="149">
        <v>20</v>
      </c>
      <c r="V209" s="149">
        <v>822.8</v>
      </c>
      <c r="W209" s="149">
        <v>6.36</v>
      </c>
      <c r="X209" s="149">
        <v>51.7</v>
      </c>
      <c r="Y209" s="149">
        <v>377200</v>
      </c>
      <c r="Z209" s="149">
        <v>11250</v>
      </c>
      <c r="AA209" s="149">
        <v>36.299999999999997</v>
      </c>
      <c r="AB209" s="149">
        <v>6.27</v>
      </c>
      <c r="AC209" s="149">
        <v>8286</v>
      </c>
      <c r="AD209" s="149">
        <v>739</v>
      </c>
      <c r="AE209" s="149">
        <v>9552</v>
      </c>
      <c r="AF209" s="149">
        <v>1165</v>
      </c>
      <c r="AG209" s="149">
        <v>0.86099999999999999</v>
      </c>
      <c r="AH209" s="149">
        <v>41.1</v>
      </c>
      <c r="AI209" s="149">
        <v>22.1</v>
      </c>
      <c r="AJ209" s="149">
        <v>426</v>
      </c>
      <c r="AK209" s="148">
        <v>286</v>
      </c>
    </row>
    <row r="210" spans="1:37">
      <c r="A210" s="147" t="s">
        <v>459</v>
      </c>
      <c r="B210" s="146">
        <v>903</v>
      </c>
      <c r="C210" s="146">
        <v>303.5</v>
      </c>
      <c r="D210" s="146">
        <v>15.2</v>
      </c>
      <c r="E210" s="146">
        <v>20.100000000000001</v>
      </c>
      <c r="F210" s="146">
        <v>20</v>
      </c>
      <c r="G210" s="146">
        <v>822.8</v>
      </c>
      <c r="H210" s="146">
        <v>325400</v>
      </c>
      <c r="I210" s="146">
        <v>9396</v>
      </c>
      <c r="J210" s="146">
        <v>7208</v>
      </c>
      <c r="K210" s="146">
        <v>619</v>
      </c>
      <c r="L210" s="146">
        <v>8361</v>
      </c>
      <c r="M210" s="146">
        <v>980</v>
      </c>
      <c r="N210" s="145">
        <v>257</v>
      </c>
      <c r="O210" s="147" t="s">
        <v>459</v>
      </c>
      <c r="P210" s="146">
        <v>201.4</v>
      </c>
      <c r="Q210" s="146">
        <v>903</v>
      </c>
      <c r="R210" s="146">
        <v>303.5</v>
      </c>
      <c r="S210" s="146">
        <v>15.2</v>
      </c>
      <c r="T210" s="146">
        <v>20.100000000000001</v>
      </c>
      <c r="U210" s="146">
        <v>20</v>
      </c>
      <c r="V210" s="146">
        <v>822.8</v>
      </c>
      <c r="W210" s="146">
        <v>7.55</v>
      </c>
      <c r="X210" s="146">
        <v>54.1</v>
      </c>
      <c r="Y210" s="146">
        <v>325400</v>
      </c>
      <c r="Z210" s="146">
        <v>9396</v>
      </c>
      <c r="AA210" s="146">
        <v>35.6</v>
      </c>
      <c r="AB210" s="146">
        <v>6.05</v>
      </c>
      <c r="AC210" s="146">
        <v>7208</v>
      </c>
      <c r="AD210" s="146">
        <v>619</v>
      </c>
      <c r="AE210" s="146">
        <v>8361</v>
      </c>
      <c r="AF210" s="146">
        <v>980</v>
      </c>
      <c r="AG210" s="146">
        <v>0.85299999999999998</v>
      </c>
      <c r="AH210" s="146">
        <v>46.7</v>
      </c>
      <c r="AI210" s="146">
        <v>18.3</v>
      </c>
      <c r="AJ210" s="146">
        <v>294</v>
      </c>
      <c r="AK210" s="145">
        <v>257</v>
      </c>
    </row>
    <row r="211" spans="1:37" ht="15.6">
      <c r="A211" s="150" t="s">
        <v>458</v>
      </c>
      <c r="B211" s="149">
        <v>935</v>
      </c>
      <c r="C211" s="149">
        <v>418</v>
      </c>
      <c r="D211" s="149">
        <v>38.6</v>
      </c>
      <c r="E211" s="149">
        <v>69.099999999999994</v>
      </c>
      <c r="F211" s="149">
        <v>20</v>
      </c>
      <c r="G211" s="149">
        <v>756.8</v>
      </c>
      <c r="H211" s="149">
        <v>1253200</v>
      </c>
      <c r="I211" s="149">
        <v>84510</v>
      </c>
      <c r="J211" s="149">
        <v>26810</v>
      </c>
      <c r="K211" s="149">
        <v>4044</v>
      </c>
      <c r="L211" s="149">
        <v>31270</v>
      </c>
      <c r="M211" s="149">
        <v>6342</v>
      </c>
      <c r="N211" s="148">
        <v>889</v>
      </c>
      <c r="O211" s="150" t="s">
        <v>458</v>
      </c>
      <c r="P211" s="149">
        <v>697.6</v>
      </c>
      <c r="Q211" s="149">
        <v>935</v>
      </c>
      <c r="R211" s="149">
        <v>418</v>
      </c>
      <c r="S211" s="149">
        <v>38.6</v>
      </c>
      <c r="T211" s="149">
        <v>69.099999999999994</v>
      </c>
      <c r="U211" s="149">
        <v>20</v>
      </c>
      <c r="V211" s="149">
        <v>756.8</v>
      </c>
      <c r="W211" s="149">
        <v>3.02</v>
      </c>
      <c r="X211" s="149">
        <v>19.600000000000001</v>
      </c>
      <c r="Y211" s="149">
        <v>1253200</v>
      </c>
      <c r="Z211" s="149">
        <v>84510</v>
      </c>
      <c r="AA211" s="149">
        <v>37.6</v>
      </c>
      <c r="AB211" s="149">
        <v>9.75</v>
      </c>
      <c r="AC211" s="149">
        <v>26810</v>
      </c>
      <c r="AD211" s="149">
        <v>4044</v>
      </c>
      <c r="AE211" s="149">
        <v>31270</v>
      </c>
      <c r="AF211" s="149">
        <v>6342</v>
      </c>
      <c r="AG211" s="149">
        <v>0.88600000000000001</v>
      </c>
      <c r="AH211" s="149">
        <v>14.2</v>
      </c>
      <c r="AI211" s="149">
        <v>158</v>
      </c>
      <c r="AJ211" s="149">
        <v>10570</v>
      </c>
      <c r="AK211" s="148">
        <v>889</v>
      </c>
    </row>
    <row r="212" spans="1:37" ht="15.6">
      <c r="A212" s="150" t="s">
        <v>457</v>
      </c>
      <c r="B212" s="149">
        <v>923</v>
      </c>
      <c r="C212" s="149">
        <v>414</v>
      </c>
      <c r="D212" s="149">
        <v>35.1</v>
      </c>
      <c r="E212" s="149">
        <v>63</v>
      </c>
      <c r="F212" s="149">
        <v>20</v>
      </c>
      <c r="G212" s="149">
        <v>757</v>
      </c>
      <c r="H212" s="149">
        <v>1119700</v>
      </c>
      <c r="I212" s="149">
        <v>74810</v>
      </c>
      <c r="J212" s="149">
        <v>24260</v>
      </c>
      <c r="K212" s="149">
        <v>3614</v>
      </c>
      <c r="L212" s="149">
        <v>28140</v>
      </c>
      <c r="M212" s="149">
        <v>5652</v>
      </c>
      <c r="N212" s="148">
        <v>805</v>
      </c>
      <c r="O212" s="150" t="s">
        <v>457</v>
      </c>
      <c r="P212" s="149">
        <v>631.79999999999995</v>
      </c>
      <c r="Q212" s="149">
        <v>923</v>
      </c>
      <c r="R212" s="149">
        <v>414</v>
      </c>
      <c r="S212" s="149">
        <v>35.1</v>
      </c>
      <c r="T212" s="149">
        <v>63</v>
      </c>
      <c r="U212" s="149">
        <v>20</v>
      </c>
      <c r="V212" s="149">
        <v>757</v>
      </c>
      <c r="W212" s="149">
        <v>3.29</v>
      </c>
      <c r="X212" s="149">
        <v>21.6</v>
      </c>
      <c r="Y212" s="149">
        <v>1119700</v>
      </c>
      <c r="Z212" s="149">
        <v>74810</v>
      </c>
      <c r="AA212" s="149">
        <v>37.299999999999997</v>
      </c>
      <c r="AB212" s="149">
        <v>9.64</v>
      </c>
      <c r="AC212" s="149">
        <v>24260</v>
      </c>
      <c r="AD212" s="149">
        <v>3614</v>
      </c>
      <c r="AE212" s="149">
        <v>28140</v>
      </c>
      <c r="AF212" s="149">
        <v>5652</v>
      </c>
      <c r="AG212" s="149">
        <v>0.88600000000000001</v>
      </c>
      <c r="AH212" s="149">
        <v>15.5</v>
      </c>
      <c r="AI212" s="149">
        <v>138</v>
      </c>
      <c r="AJ212" s="149">
        <v>7983</v>
      </c>
      <c r="AK212" s="148">
        <v>805</v>
      </c>
    </row>
    <row r="213" spans="1:37" ht="15.6">
      <c r="A213" s="150" t="s">
        <v>456</v>
      </c>
      <c r="B213" s="149">
        <v>913</v>
      </c>
      <c r="C213" s="149">
        <v>411</v>
      </c>
      <c r="D213" s="149">
        <v>32</v>
      </c>
      <c r="E213" s="149">
        <v>57.9</v>
      </c>
      <c r="F213" s="149">
        <v>20</v>
      </c>
      <c r="G213" s="149">
        <v>757.2</v>
      </c>
      <c r="H213" s="149">
        <v>1011800</v>
      </c>
      <c r="I213" s="149">
        <v>67230</v>
      </c>
      <c r="J213" s="149">
        <v>22160</v>
      </c>
      <c r="K213" s="149">
        <v>3271</v>
      </c>
      <c r="L213" s="149">
        <v>25570</v>
      </c>
      <c r="M213" s="149">
        <v>5101</v>
      </c>
      <c r="N213" s="148">
        <v>734</v>
      </c>
      <c r="O213" s="150" t="s">
        <v>456</v>
      </c>
      <c r="P213" s="149">
        <v>576.6</v>
      </c>
      <c r="Q213" s="149">
        <v>913</v>
      </c>
      <c r="R213" s="149">
        <v>411</v>
      </c>
      <c r="S213" s="149">
        <v>32</v>
      </c>
      <c r="T213" s="149">
        <v>57.9</v>
      </c>
      <c r="U213" s="149">
        <v>20</v>
      </c>
      <c r="V213" s="149">
        <v>757.2</v>
      </c>
      <c r="W213" s="149">
        <v>3.55</v>
      </c>
      <c r="X213" s="149">
        <v>23.7</v>
      </c>
      <c r="Y213" s="149">
        <v>1011800</v>
      </c>
      <c r="Z213" s="149">
        <v>67230</v>
      </c>
      <c r="AA213" s="149">
        <v>37.1</v>
      </c>
      <c r="AB213" s="149">
        <v>9.57</v>
      </c>
      <c r="AC213" s="149">
        <v>22160</v>
      </c>
      <c r="AD213" s="149">
        <v>3271</v>
      </c>
      <c r="AE213" s="149">
        <v>25570</v>
      </c>
      <c r="AF213" s="149">
        <v>5101</v>
      </c>
      <c r="AG213" s="149">
        <v>0.88700000000000001</v>
      </c>
      <c r="AH213" s="149">
        <v>16.7</v>
      </c>
      <c r="AI213" s="149">
        <v>123</v>
      </c>
      <c r="AJ213" s="149">
        <v>6168</v>
      </c>
      <c r="AK213" s="148">
        <v>734</v>
      </c>
    </row>
    <row r="214" spans="1:37" ht="15.6">
      <c r="A214" s="150" t="s">
        <v>455</v>
      </c>
      <c r="B214" s="149">
        <v>903</v>
      </c>
      <c r="C214" s="149">
        <v>409</v>
      </c>
      <c r="D214" s="149">
        <v>29.5</v>
      </c>
      <c r="E214" s="149">
        <v>53.1</v>
      </c>
      <c r="F214" s="149">
        <v>20</v>
      </c>
      <c r="G214" s="149">
        <v>756.8</v>
      </c>
      <c r="H214" s="149">
        <v>915100</v>
      </c>
      <c r="I214" s="149">
        <v>60730</v>
      </c>
      <c r="J214" s="149">
        <v>20270</v>
      </c>
      <c r="K214" s="149">
        <v>2970</v>
      </c>
      <c r="L214" s="149">
        <v>23280</v>
      </c>
      <c r="M214" s="149">
        <v>4621</v>
      </c>
      <c r="N214" s="148">
        <v>673</v>
      </c>
      <c r="O214" s="150" t="s">
        <v>455</v>
      </c>
      <c r="P214" s="149">
        <v>528.20000000000005</v>
      </c>
      <c r="Q214" s="149">
        <v>903</v>
      </c>
      <c r="R214" s="149">
        <v>409</v>
      </c>
      <c r="S214" s="149">
        <v>29.5</v>
      </c>
      <c r="T214" s="149">
        <v>53.1</v>
      </c>
      <c r="U214" s="149">
        <v>20</v>
      </c>
      <c r="V214" s="149">
        <v>756.8</v>
      </c>
      <c r="W214" s="149">
        <v>3.85</v>
      </c>
      <c r="X214" s="149">
        <v>25.7</v>
      </c>
      <c r="Y214" s="149">
        <v>915100</v>
      </c>
      <c r="Z214" s="149">
        <v>60730</v>
      </c>
      <c r="AA214" s="149">
        <v>36.9</v>
      </c>
      <c r="AB214" s="149">
        <v>9.5</v>
      </c>
      <c r="AC214" s="149">
        <v>20270</v>
      </c>
      <c r="AD214" s="149">
        <v>2970</v>
      </c>
      <c r="AE214" s="149">
        <v>23280</v>
      </c>
      <c r="AF214" s="149">
        <v>4621</v>
      </c>
      <c r="AG214" s="149">
        <v>0.88700000000000001</v>
      </c>
      <c r="AH214" s="149">
        <v>18.100000000000001</v>
      </c>
      <c r="AI214" s="149">
        <v>110</v>
      </c>
      <c r="AJ214" s="149">
        <v>4777</v>
      </c>
      <c r="AK214" s="148">
        <v>673</v>
      </c>
    </row>
    <row r="215" spans="1:37" ht="15.6">
      <c r="A215" s="150" t="s">
        <v>454</v>
      </c>
      <c r="B215" s="149">
        <v>893</v>
      </c>
      <c r="C215" s="149">
        <v>406</v>
      </c>
      <c r="D215" s="149">
        <v>26.4</v>
      </c>
      <c r="E215" s="149">
        <v>48</v>
      </c>
      <c r="F215" s="149">
        <v>20</v>
      </c>
      <c r="G215" s="149">
        <v>757</v>
      </c>
      <c r="H215" s="149">
        <v>813200</v>
      </c>
      <c r="I215" s="149">
        <v>53670</v>
      </c>
      <c r="J215" s="149">
        <v>18210</v>
      </c>
      <c r="K215" s="149">
        <v>2644</v>
      </c>
      <c r="L215" s="149">
        <v>20800</v>
      </c>
      <c r="M215" s="149">
        <v>4101</v>
      </c>
      <c r="N215" s="148">
        <v>604</v>
      </c>
      <c r="O215" s="150" t="s">
        <v>454</v>
      </c>
      <c r="P215" s="149">
        <v>473.8</v>
      </c>
      <c r="Q215" s="149">
        <v>893</v>
      </c>
      <c r="R215" s="149">
        <v>406</v>
      </c>
      <c r="S215" s="149">
        <v>26.4</v>
      </c>
      <c r="T215" s="149">
        <v>48</v>
      </c>
      <c r="U215" s="149">
        <v>20</v>
      </c>
      <c r="V215" s="149">
        <v>757</v>
      </c>
      <c r="W215" s="149">
        <v>4.2300000000000004</v>
      </c>
      <c r="X215" s="149">
        <v>28.7</v>
      </c>
      <c r="Y215" s="149">
        <v>813200</v>
      </c>
      <c r="Z215" s="149">
        <v>53670</v>
      </c>
      <c r="AA215" s="149">
        <v>36.700000000000003</v>
      </c>
      <c r="AB215" s="149">
        <v>9.43</v>
      </c>
      <c r="AC215" s="149">
        <v>18210</v>
      </c>
      <c r="AD215" s="149">
        <v>2644</v>
      </c>
      <c r="AE215" s="149">
        <v>20800</v>
      </c>
      <c r="AF215" s="149">
        <v>4101</v>
      </c>
      <c r="AG215" s="149">
        <v>0.88800000000000001</v>
      </c>
      <c r="AH215" s="149">
        <v>19.8</v>
      </c>
      <c r="AI215" s="149">
        <v>95.8</v>
      </c>
      <c r="AJ215" s="149">
        <v>3511</v>
      </c>
      <c r="AK215" s="148">
        <v>604</v>
      </c>
    </row>
    <row r="216" spans="1:37" ht="15.6">
      <c r="A216" s="150" t="s">
        <v>453</v>
      </c>
      <c r="B216" s="149">
        <v>885</v>
      </c>
      <c r="C216" s="149">
        <v>404</v>
      </c>
      <c r="D216" s="149">
        <v>24.4</v>
      </c>
      <c r="E216" s="149">
        <v>43.9</v>
      </c>
      <c r="F216" s="149">
        <v>20</v>
      </c>
      <c r="G216" s="149">
        <v>757.2</v>
      </c>
      <c r="H216" s="149">
        <v>736300</v>
      </c>
      <c r="I216" s="149">
        <v>48350</v>
      </c>
      <c r="J216" s="149">
        <v>16640</v>
      </c>
      <c r="K216" s="149">
        <v>2394</v>
      </c>
      <c r="L216" s="149">
        <v>18930</v>
      </c>
      <c r="M216" s="149">
        <v>3707</v>
      </c>
      <c r="N216" s="148">
        <v>553</v>
      </c>
      <c r="O216" s="150" t="s">
        <v>453</v>
      </c>
      <c r="P216" s="149">
        <v>433.8</v>
      </c>
      <c r="Q216" s="149">
        <v>885</v>
      </c>
      <c r="R216" s="149">
        <v>404</v>
      </c>
      <c r="S216" s="149">
        <v>24.4</v>
      </c>
      <c r="T216" s="149">
        <v>43.9</v>
      </c>
      <c r="U216" s="149">
        <v>20</v>
      </c>
      <c r="V216" s="149">
        <v>757.2</v>
      </c>
      <c r="W216" s="149">
        <v>4.5999999999999996</v>
      </c>
      <c r="X216" s="149">
        <v>31</v>
      </c>
      <c r="Y216" s="149">
        <v>736300</v>
      </c>
      <c r="Z216" s="149">
        <v>48350</v>
      </c>
      <c r="AA216" s="149">
        <v>36.5</v>
      </c>
      <c r="AB216" s="149">
        <v>9.35</v>
      </c>
      <c r="AC216" s="149">
        <v>16640</v>
      </c>
      <c r="AD216" s="149">
        <v>2394</v>
      </c>
      <c r="AE216" s="149">
        <v>18930</v>
      </c>
      <c r="AF216" s="149">
        <v>3707</v>
      </c>
      <c r="AG216" s="149">
        <v>0.88700000000000001</v>
      </c>
      <c r="AH216" s="149">
        <v>21.5</v>
      </c>
      <c r="AI216" s="149">
        <v>85.5</v>
      </c>
      <c r="AJ216" s="149">
        <v>2705</v>
      </c>
      <c r="AK216" s="148">
        <v>553</v>
      </c>
    </row>
    <row r="217" spans="1:37" ht="15.6">
      <c r="A217" s="150" t="s">
        <v>452</v>
      </c>
      <c r="B217" s="149">
        <v>877</v>
      </c>
      <c r="C217" s="149">
        <v>401</v>
      </c>
      <c r="D217" s="149">
        <v>22.1</v>
      </c>
      <c r="E217" s="149">
        <v>39.9</v>
      </c>
      <c r="F217" s="149">
        <v>20</v>
      </c>
      <c r="G217" s="149">
        <v>757.2</v>
      </c>
      <c r="H217" s="149">
        <v>659700</v>
      </c>
      <c r="I217" s="149">
        <v>42960</v>
      </c>
      <c r="J217" s="149">
        <v>15040</v>
      </c>
      <c r="K217" s="149">
        <v>2143</v>
      </c>
      <c r="L217" s="149">
        <v>17040</v>
      </c>
      <c r="M217" s="149">
        <v>3311</v>
      </c>
      <c r="N217" s="148">
        <v>500</v>
      </c>
      <c r="O217" s="150" t="s">
        <v>452</v>
      </c>
      <c r="P217" s="149">
        <v>392.2</v>
      </c>
      <c r="Q217" s="149">
        <v>877</v>
      </c>
      <c r="R217" s="149">
        <v>401</v>
      </c>
      <c r="S217" s="149">
        <v>22.1</v>
      </c>
      <c r="T217" s="149">
        <v>39.9</v>
      </c>
      <c r="U217" s="149">
        <v>20</v>
      </c>
      <c r="V217" s="149">
        <v>757.2</v>
      </c>
      <c r="W217" s="149">
        <v>5.03</v>
      </c>
      <c r="X217" s="149">
        <v>34.299999999999997</v>
      </c>
      <c r="Y217" s="149">
        <v>659700</v>
      </c>
      <c r="Z217" s="149">
        <v>42960</v>
      </c>
      <c r="AA217" s="149">
        <v>36.299999999999997</v>
      </c>
      <c r="AB217" s="149">
        <v>9.27</v>
      </c>
      <c r="AC217" s="149">
        <v>15040</v>
      </c>
      <c r="AD217" s="149">
        <v>2143</v>
      </c>
      <c r="AE217" s="149">
        <v>17040</v>
      </c>
      <c r="AF217" s="149">
        <v>3311</v>
      </c>
      <c r="AG217" s="149">
        <v>0.88800000000000001</v>
      </c>
      <c r="AH217" s="149">
        <v>23.5</v>
      </c>
      <c r="AI217" s="149">
        <v>75.3</v>
      </c>
      <c r="AJ217" s="149">
        <v>2027</v>
      </c>
      <c r="AK217" s="148">
        <v>500</v>
      </c>
    </row>
    <row r="218" spans="1:37" ht="15.6">
      <c r="A218" s="150" t="s">
        <v>451</v>
      </c>
      <c r="B218" s="149">
        <v>868.2</v>
      </c>
      <c r="C218" s="149">
        <v>402.8</v>
      </c>
      <c r="D218" s="149">
        <v>21.1</v>
      </c>
      <c r="E218" s="149">
        <v>35.6</v>
      </c>
      <c r="F218" s="149">
        <v>20</v>
      </c>
      <c r="G218" s="149">
        <v>757</v>
      </c>
      <c r="H218" s="149">
        <v>591700</v>
      </c>
      <c r="I218" s="149">
        <v>38850</v>
      </c>
      <c r="J218" s="149">
        <v>13630</v>
      </c>
      <c r="K218" s="149">
        <v>1929</v>
      </c>
      <c r="L218" s="149">
        <v>15430</v>
      </c>
      <c r="M218" s="149">
        <v>2982</v>
      </c>
      <c r="N218" s="148">
        <v>458</v>
      </c>
      <c r="O218" s="150" t="s">
        <v>451</v>
      </c>
      <c r="P218" s="149">
        <v>359.8</v>
      </c>
      <c r="Q218" s="149">
        <v>868.2</v>
      </c>
      <c r="R218" s="149">
        <v>402.8</v>
      </c>
      <c r="S218" s="149">
        <v>21.1</v>
      </c>
      <c r="T218" s="149">
        <v>35.6</v>
      </c>
      <c r="U218" s="149">
        <v>20</v>
      </c>
      <c r="V218" s="149">
        <v>757</v>
      </c>
      <c r="W218" s="149">
        <v>5.66</v>
      </c>
      <c r="X218" s="149">
        <v>35.9</v>
      </c>
      <c r="Y218" s="149">
        <v>591700</v>
      </c>
      <c r="Z218" s="149">
        <v>38850</v>
      </c>
      <c r="AA218" s="149">
        <v>35.9</v>
      </c>
      <c r="AB218" s="149">
        <v>9.2100000000000009</v>
      </c>
      <c r="AC218" s="149">
        <v>13630</v>
      </c>
      <c r="AD218" s="149">
        <v>1929</v>
      </c>
      <c r="AE218" s="149">
        <v>15430</v>
      </c>
      <c r="AF218" s="149">
        <v>2982</v>
      </c>
      <c r="AG218" s="149">
        <v>0.88400000000000001</v>
      </c>
      <c r="AH218" s="149">
        <v>26</v>
      </c>
      <c r="AI218" s="149">
        <v>67.3</v>
      </c>
      <c r="AJ218" s="149">
        <v>1510</v>
      </c>
      <c r="AK218" s="148">
        <v>458</v>
      </c>
    </row>
    <row r="219" spans="1:37" ht="15.6">
      <c r="A219" s="150" t="s">
        <v>450</v>
      </c>
      <c r="B219" s="149">
        <v>861.8</v>
      </c>
      <c r="C219" s="149">
        <v>401.4</v>
      </c>
      <c r="D219" s="149">
        <v>19.7</v>
      </c>
      <c r="E219" s="149">
        <v>32.4</v>
      </c>
      <c r="F219" s="149">
        <v>20</v>
      </c>
      <c r="G219" s="149">
        <v>757</v>
      </c>
      <c r="H219" s="149">
        <v>536000</v>
      </c>
      <c r="I219" s="149">
        <v>34980</v>
      </c>
      <c r="J219" s="149">
        <v>12440</v>
      </c>
      <c r="K219" s="149">
        <v>1743</v>
      </c>
      <c r="L219" s="149">
        <v>14050</v>
      </c>
      <c r="M219" s="149">
        <v>2692</v>
      </c>
      <c r="N219" s="148">
        <v>421</v>
      </c>
      <c r="O219" s="150" t="s">
        <v>450</v>
      </c>
      <c r="P219" s="149">
        <v>330.1</v>
      </c>
      <c r="Q219" s="149">
        <v>861.8</v>
      </c>
      <c r="R219" s="149">
        <v>401.4</v>
      </c>
      <c r="S219" s="149">
        <v>19.7</v>
      </c>
      <c r="T219" s="149">
        <v>32.4</v>
      </c>
      <c r="U219" s="149">
        <v>20</v>
      </c>
      <c r="V219" s="149">
        <v>757</v>
      </c>
      <c r="W219" s="149">
        <v>6.19</v>
      </c>
      <c r="X219" s="149">
        <v>38.4</v>
      </c>
      <c r="Y219" s="149">
        <v>536000</v>
      </c>
      <c r="Z219" s="149">
        <v>34980</v>
      </c>
      <c r="AA219" s="149">
        <v>35.700000000000003</v>
      </c>
      <c r="AB219" s="149">
        <v>9.1199999999999992</v>
      </c>
      <c r="AC219" s="149">
        <v>12440</v>
      </c>
      <c r="AD219" s="149">
        <v>1743</v>
      </c>
      <c r="AE219" s="149">
        <v>14050</v>
      </c>
      <c r="AF219" s="149">
        <v>2692</v>
      </c>
      <c r="AG219" s="149">
        <v>0.88300000000000001</v>
      </c>
      <c r="AH219" s="149">
        <v>28.3</v>
      </c>
      <c r="AI219" s="149">
        <v>60.2</v>
      </c>
      <c r="AJ219" s="149">
        <v>1160</v>
      </c>
      <c r="AK219" s="148">
        <v>421</v>
      </c>
    </row>
    <row r="220" spans="1:37" ht="15.6">
      <c r="A220" s="150" t="s">
        <v>449</v>
      </c>
      <c r="B220" s="149">
        <v>855.5</v>
      </c>
      <c r="C220" s="149">
        <v>399.9</v>
      </c>
      <c r="D220" s="149">
        <v>18.2</v>
      </c>
      <c r="E220" s="149">
        <v>29.2</v>
      </c>
      <c r="F220" s="149">
        <v>20</v>
      </c>
      <c r="G220" s="149">
        <v>757.1</v>
      </c>
      <c r="H220" s="149">
        <v>480900</v>
      </c>
      <c r="I220" s="149">
        <v>31170</v>
      </c>
      <c r="J220" s="149">
        <v>11240</v>
      </c>
      <c r="K220" s="149">
        <v>1559</v>
      </c>
      <c r="L220" s="149">
        <v>12680</v>
      </c>
      <c r="M220" s="149">
        <v>2405</v>
      </c>
      <c r="N220" s="148">
        <v>382</v>
      </c>
      <c r="O220" s="150" t="s">
        <v>449</v>
      </c>
      <c r="P220" s="149">
        <v>299.89999999999998</v>
      </c>
      <c r="Q220" s="149">
        <v>855.5</v>
      </c>
      <c r="R220" s="149">
        <v>399.9</v>
      </c>
      <c r="S220" s="149">
        <v>18.2</v>
      </c>
      <c r="T220" s="149">
        <v>29.2</v>
      </c>
      <c r="U220" s="149">
        <v>20</v>
      </c>
      <c r="V220" s="149">
        <v>757.1</v>
      </c>
      <c r="W220" s="149">
        <v>6.85</v>
      </c>
      <c r="X220" s="149">
        <v>41.6</v>
      </c>
      <c r="Y220" s="149">
        <v>480900</v>
      </c>
      <c r="Z220" s="149">
        <v>31170</v>
      </c>
      <c r="AA220" s="149">
        <v>35.5</v>
      </c>
      <c r="AB220" s="149">
        <v>9.0299999999999994</v>
      </c>
      <c r="AC220" s="149">
        <v>11240</v>
      </c>
      <c r="AD220" s="149">
        <v>1559</v>
      </c>
      <c r="AE220" s="149">
        <v>12680</v>
      </c>
      <c r="AF220" s="149">
        <v>2405</v>
      </c>
      <c r="AG220" s="149">
        <v>0.88100000000000001</v>
      </c>
      <c r="AH220" s="149">
        <v>31.1</v>
      </c>
      <c r="AI220" s="149">
        <v>53.2</v>
      </c>
      <c r="AJ220" s="149">
        <v>866</v>
      </c>
      <c r="AK220" s="148">
        <v>382</v>
      </c>
    </row>
    <row r="221" spans="1:37" ht="15.6">
      <c r="A221" s="150" t="s">
        <v>448</v>
      </c>
      <c r="B221" s="149">
        <v>925.1</v>
      </c>
      <c r="C221" s="149">
        <v>310.60000000000002</v>
      </c>
      <c r="D221" s="149">
        <v>35.6</v>
      </c>
      <c r="E221" s="149">
        <v>64</v>
      </c>
      <c r="F221" s="149">
        <v>20</v>
      </c>
      <c r="G221" s="149">
        <v>757.1</v>
      </c>
      <c r="H221" s="149">
        <v>893900</v>
      </c>
      <c r="I221" s="149">
        <v>32280</v>
      </c>
      <c r="J221" s="149">
        <v>19330</v>
      </c>
      <c r="K221" s="149">
        <v>2079</v>
      </c>
      <c r="L221" s="149">
        <v>22910</v>
      </c>
      <c r="M221" s="149">
        <v>3347</v>
      </c>
      <c r="N221" s="148">
        <v>685</v>
      </c>
      <c r="O221" s="150" t="s">
        <v>448</v>
      </c>
      <c r="P221" s="149">
        <v>537.5</v>
      </c>
      <c r="Q221" s="149">
        <v>925.1</v>
      </c>
      <c r="R221" s="149">
        <v>310.60000000000002</v>
      </c>
      <c r="S221" s="149">
        <v>35.6</v>
      </c>
      <c r="T221" s="149">
        <v>64</v>
      </c>
      <c r="U221" s="149">
        <v>20</v>
      </c>
      <c r="V221" s="149">
        <v>757.1</v>
      </c>
      <c r="W221" s="149">
        <v>2.4300000000000002</v>
      </c>
      <c r="X221" s="149">
        <v>21.3</v>
      </c>
      <c r="Y221" s="149">
        <v>893900</v>
      </c>
      <c r="Z221" s="149">
        <v>32280</v>
      </c>
      <c r="AA221" s="149">
        <v>36.1</v>
      </c>
      <c r="AB221" s="149">
        <v>6.87</v>
      </c>
      <c r="AC221" s="149">
        <v>19330</v>
      </c>
      <c r="AD221" s="149">
        <v>2079</v>
      </c>
      <c r="AE221" s="149">
        <v>22910</v>
      </c>
      <c r="AF221" s="149">
        <v>3347</v>
      </c>
      <c r="AG221" s="149">
        <v>0.873</v>
      </c>
      <c r="AH221" s="149">
        <v>15.8</v>
      </c>
      <c r="AI221" s="149">
        <v>59.8</v>
      </c>
      <c r="AJ221" s="149">
        <v>6547</v>
      </c>
      <c r="AK221" s="148">
        <v>685</v>
      </c>
    </row>
    <row r="222" spans="1:37" ht="15.6">
      <c r="A222" s="150" t="s">
        <v>447</v>
      </c>
      <c r="B222" s="149">
        <v>915.2</v>
      </c>
      <c r="C222" s="149">
        <v>308.10000000000002</v>
      </c>
      <c r="D222" s="149">
        <v>33</v>
      </c>
      <c r="E222" s="149">
        <v>58.9</v>
      </c>
      <c r="F222" s="149">
        <v>20</v>
      </c>
      <c r="G222" s="149">
        <v>757.4</v>
      </c>
      <c r="H222" s="149">
        <v>811100</v>
      </c>
      <c r="I222" s="149">
        <v>28960</v>
      </c>
      <c r="J222" s="149">
        <v>17730</v>
      </c>
      <c r="K222" s="149">
        <v>1880</v>
      </c>
      <c r="L222" s="149">
        <v>20920</v>
      </c>
      <c r="M222" s="149">
        <v>3020</v>
      </c>
      <c r="N222" s="148">
        <v>630</v>
      </c>
      <c r="O222" s="150" t="s">
        <v>447</v>
      </c>
      <c r="P222" s="149">
        <v>494.2</v>
      </c>
      <c r="Q222" s="149">
        <v>915.2</v>
      </c>
      <c r="R222" s="149">
        <v>308.10000000000002</v>
      </c>
      <c r="S222" s="149">
        <v>33</v>
      </c>
      <c r="T222" s="149">
        <v>58.9</v>
      </c>
      <c r="U222" s="149">
        <v>20</v>
      </c>
      <c r="V222" s="149">
        <v>757.4</v>
      </c>
      <c r="W222" s="149">
        <v>2.62</v>
      </c>
      <c r="X222" s="149">
        <v>23</v>
      </c>
      <c r="Y222" s="149">
        <v>811100</v>
      </c>
      <c r="Z222" s="149">
        <v>28960</v>
      </c>
      <c r="AA222" s="149">
        <v>35.9</v>
      </c>
      <c r="AB222" s="149">
        <v>6.78</v>
      </c>
      <c r="AC222" s="149">
        <v>17730</v>
      </c>
      <c r="AD222" s="149">
        <v>1880</v>
      </c>
      <c r="AE222" s="149">
        <v>20920</v>
      </c>
      <c r="AF222" s="149">
        <v>3020</v>
      </c>
      <c r="AG222" s="149">
        <v>0.873</v>
      </c>
      <c r="AH222" s="149">
        <v>17</v>
      </c>
      <c r="AI222" s="149">
        <v>53.1</v>
      </c>
      <c r="AJ222" s="149">
        <v>5131</v>
      </c>
      <c r="AK222" s="148">
        <v>630</v>
      </c>
    </row>
    <row r="223" spans="1:37" ht="15.6">
      <c r="A223" s="150" t="s">
        <v>446</v>
      </c>
      <c r="B223" s="149">
        <v>905</v>
      </c>
      <c r="C223" s="149">
        <v>305.2</v>
      </c>
      <c r="D223" s="149">
        <v>30</v>
      </c>
      <c r="E223" s="149">
        <v>54.1</v>
      </c>
      <c r="F223" s="149">
        <v>20</v>
      </c>
      <c r="G223" s="149">
        <v>756.8</v>
      </c>
      <c r="H223" s="149">
        <v>730300</v>
      </c>
      <c r="I223" s="149">
        <v>25830</v>
      </c>
      <c r="J223" s="149">
        <v>16140</v>
      </c>
      <c r="K223" s="149">
        <v>1692</v>
      </c>
      <c r="L223" s="149">
        <v>18950</v>
      </c>
      <c r="M223" s="149">
        <v>2706</v>
      </c>
      <c r="N223" s="148">
        <v>573</v>
      </c>
      <c r="O223" s="150" t="s">
        <v>446</v>
      </c>
      <c r="P223" s="149">
        <v>449.6</v>
      </c>
      <c r="Q223" s="149">
        <v>905</v>
      </c>
      <c r="R223" s="149">
        <v>305.2</v>
      </c>
      <c r="S223" s="149">
        <v>30</v>
      </c>
      <c r="T223" s="149">
        <v>54.1</v>
      </c>
      <c r="U223" s="149">
        <v>20</v>
      </c>
      <c r="V223" s="149">
        <v>756.8</v>
      </c>
      <c r="W223" s="149">
        <v>2.82</v>
      </c>
      <c r="X223" s="149">
        <v>25.2</v>
      </c>
      <c r="Y223" s="149">
        <v>730300</v>
      </c>
      <c r="Z223" s="149">
        <v>25830</v>
      </c>
      <c r="AA223" s="149">
        <v>35.700000000000003</v>
      </c>
      <c r="AB223" s="149">
        <v>6.72</v>
      </c>
      <c r="AC223" s="149">
        <v>16140</v>
      </c>
      <c r="AD223" s="149">
        <v>1692</v>
      </c>
      <c r="AE223" s="149">
        <v>18950</v>
      </c>
      <c r="AF223" s="149">
        <v>2706</v>
      </c>
      <c r="AG223" s="149">
        <v>0.874</v>
      </c>
      <c r="AH223" s="149">
        <v>18.3</v>
      </c>
      <c r="AI223" s="149">
        <v>46.7</v>
      </c>
      <c r="AJ223" s="149">
        <v>3945</v>
      </c>
      <c r="AK223" s="148">
        <v>573</v>
      </c>
    </row>
    <row r="224" spans="1:37" ht="15.6">
      <c r="A224" s="150" t="s">
        <v>445</v>
      </c>
      <c r="B224" s="149">
        <v>895.1</v>
      </c>
      <c r="C224" s="149">
        <v>302.10000000000002</v>
      </c>
      <c r="D224" s="149">
        <v>26.9</v>
      </c>
      <c r="E224" s="149">
        <v>49</v>
      </c>
      <c r="F224" s="149">
        <v>20</v>
      </c>
      <c r="G224" s="149">
        <v>757.1</v>
      </c>
      <c r="H224" s="149">
        <v>649300</v>
      </c>
      <c r="I224" s="149">
        <v>22660</v>
      </c>
      <c r="J224" s="149">
        <v>14510</v>
      </c>
      <c r="K224" s="149">
        <v>1500</v>
      </c>
      <c r="L224" s="149">
        <v>16930</v>
      </c>
      <c r="M224" s="149">
        <v>2386</v>
      </c>
      <c r="N224" s="148">
        <v>514</v>
      </c>
      <c r="O224" s="150" t="s">
        <v>445</v>
      </c>
      <c r="P224" s="149">
        <v>403.4</v>
      </c>
      <c r="Q224" s="149">
        <v>895.1</v>
      </c>
      <c r="R224" s="149">
        <v>302.10000000000002</v>
      </c>
      <c r="S224" s="149">
        <v>26.9</v>
      </c>
      <c r="T224" s="149">
        <v>49</v>
      </c>
      <c r="U224" s="149">
        <v>20</v>
      </c>
      <c r="V224" s="149">
        <v>757.1</v>
      </c>
      <c r="W224" s="149">
        <v>3.08</v>
      </c>
      <c r="X224" s="149">
        <v>28.1</v>
      </c>
      <c r="Y224" s="149">
        <v>649300</v>
      </c>
      <c r="Z224" s="149">
        <v>22660</v>
      </c>
      <c r="AA224" s="149">
        <v>35.5</v>
      </c>
      <c r="AB224" s="149">
        <v>6.64</v>
      </c>
      <c r="AC224" s="149">
        <v>14510</v>
      </c>
      <c r="AD224" s="149">
        <v>1500</v>
      </c>
      <c r="AE224" s="149">
        <v>16930</v>
      </c>
      <c r="AF224" s="149">
        <v>2386</v>
      </c>
      <c r="AG224" s="149">
        <v>0.875</v>
      </c>
      <c r="AH224" s="149">
        <v>20.100000000000001</v>
      </c>
      <c r="AI224" s="149">
        <v>40.5</v>
      </c>
      <c r="AJ224" s="149">
        <v>2912</v>
      </c>
      <c r="AK224" s="148">
        <v>514</v>
      </c>
    </row>
    <row r="225" spans="1:37" ht="15.6">
      <c r="A225" s="150" t="s">
        <v>444</v>
      </c>
      <c r="B225" s="149">
        <v>885.2</v>
      </c>
      <c r="C225" s="149">
        <v>299.7</v>
      </c>
      <c r="D225" s="149">
        <v>24.4</v>
      </c>
      <c r="E225" s="149">
        <v>43.9</v>
      </c>
      <c r="F225" s="149">
        <v>20</v>
      </c>
      <c r="G225" s="149">
        <v>757.4</v>
      </c>
      <c r="H225" s="149">
        <v>574500</v>
      </c>
      <c r="I225" s="149">
        <v>19800</v>
      </c>
      <c r="J225" s="149">
        <v>12980</v>
      </c>
      <c r="K225" s="149">
        <v>1321</v>
      </c>
      <c r="L225" s="149">
        <v>15080</v>
      </c>
      <c r="M225" s="149">
        <v>2096</v>
      </c>
      <c r="N225" s="148">
        <v>461</v>
      </c>
      <c r="O225" s="150" t="s">
        <v>444</v>
      </c>
      <c r="P225" s="149">
        <v>362</v>
      </c>
      <c r="Q225" s="149">
        <v>885.2</v>
      </c>
      <c r="R225" s="149">
        <v>299.7</v>
      </c>
      <c r="S225" s="149">
        <v>24.4</v>
      </c>
      <c r="T225" s="149">
        <v>43.9</v>
      </c>
      <c r="U225" s="149">
        <v>20</v>
      </c>
      <c r="V225" s="149">
        <v>757.4</v>
      </c>
      <c r="W225" s="149">
        <v>3.41</v>
      </c>
      <c r="X225" s="149">
        <v>31</v>
      </c>
      <c r="Y225" s="149">
        <v>574500</v>
      </c>
      <c r="Z225" s="149">
        <v>19800</v>
      </c>
      <c r="AA225" s="149">
        <v>35.299999999999997</v>
      </c>
      <c r="AB225" s="149">
        <v>6.55</v>
      </c>
      <c r="AC225" s="149">
        <v>12980</v>
      </c>
      <c r="AD225" s="149">
        <v>1321</v>
      </c>
      <c r="AE225" s="149">
        <v>15080</v>
      </c>
      <c r="AF225" s="149">
        <v>2096</v>
      </c>
      <c r="AG225" s="149">
        <v>0.874</v>
      </c>
      <c r="AH225" s="149">
        <v>22.2</v>
      </c>
      <c r="AI225" s="149">
        <v>35</v>
      </c>
      <c r="AJ225" s="149">
        <v>2117</v>
      </c>
      <c r="AK225" s="148">
        <v>461</v>
      </c>
    </row>
    <row r="226" spans="1:37" ht="15.6">
      <c r="A226" s="150" t="s">
        <v>443</v>
      </c>
      <c r="B226" s="149">
        <v>877.1</v>
      </c>
      <c r="C226" s="149">
        <v>297.2</v>
      </c>
      <c r="D226" s="149">
        <v>22.1</v>
      </c>
      <c r="E226" s="149">
        <v>39.9</v>
      </c>
      <c r="F226" s="149">
        <v>20</v>
      </c>
      <c r="G226" s="149">
        <v>757.3</v>
      </c>
      <c r="H226" s="149">
        <v>514600</v>
      </c>
      <c r="I226" s="149">
        <v>17540</v>
      </c>
      <c r="J226" s="149">
        <v>11730</v>
      </c>
      <c r="K226" s="149">
        <v>1180</v>
      </c>
      <c r="L226" s="149">
        <v>13580</v>
      </c>
      <c r="M226" s="149">
        <v>1865</v>
      </c>
      <c r="N226" s="148">
        <v>417</v>
      </c>
      <c r="O226" s="150" t="s">
        <v>443</v>
      </c>
      <c r="P226" s="149">
        <v>327.2</v>
      </c>
      <c r="Q226" s="149">
        <v>877.1</v>
      </c>
      <c r="R226" s="149">
        <v>297.2</v>
      </c>
      <c r="S226" s="149">
        <v>22.1</v>
      </c>
      <c r="T226" s="149">
        <v>39.9</v>
      </c>
      <c r="U226" s="149">
        <v>20</v>
      </c>
      <c r="V226" s="149">
        <v>757.3</v>
      </c>
      <c r="W226" s="149">
        <v>3.72</v>
      </c>
      <c r="X226" s="149">
        <v>34.299999999999997</v>
      </c>
      <c r="Y226" s="149">
        <v>514600</v>
      </c>
      <c r="Z226" s="149">
        <v>17540</v>
      </c>
      <c r="AA226" s="149">
        <v>35.1</v>
      </c>
      <c r="AB226" s="149">
        <v>6.49</v>
      </c>
      <c r="AC226" s="149">
        <v>11730</v>
      </c>
      <c r="AD226" s="149">
        <v>1180</v>
      </c>
      <c r="AE226" s="149">
        <v>13580</v>
      </c>
      <c r="AF226" s="149">
        <v>1865</v>
      </c>
      <c r="AG226" s="149">
        <v>0.874</v>
      </c>
      <c r="AH226" s="149">
        <v>24.3</v>
      </c>
      <c r="AI226" s="149">
        <v>30.7</v>
      </c>
      <c r="AJ226" s="149">
        <v>1587</v>
      </c>
      <c r="AK226" s="148">
        <v>417</v>
      </c>
    </row>
    <row r="227" spans="1:37" ht="15.6">
      <c r="A227" s="150" t="s">
        <v>442</v>
      </c>
      <c r="B227" s="149">
        <v>871.2</v>
      </c>
      <c r="C227" s="149">
        <v>295.7</v>
      </c>
      <c r="D227" s="149">
        <v>20.6</v>
      </c>
      <c r="E227" s="149">
        <v>37.1</v>
      </c>
      <c r="F227" s="149">
        <v>20</v>
      </c>
      <c r="G227" s="149">
        <v>757</v>
      </c>
      <c r="H227" s="149">
        <v>474100</v>
      </c>
      <c r="I227" s="149">
        <v>16050</v>
      </c>
      <c r="J227" s="149">
        <v>10880</v>
      </c>
      <c r="K227" s="149">
        <v>1086</v>
      </c>
      <c r="L227" s="149">
        <v>12560</v>
      </c>
      <c r="M227" s="149">
        <v>1712</v>
      </c>
      <c r="N227" s="148">
        <v>387</v>
      </c>
      <c r="O227" s="150" t="s">
        <v>442</v>
      </c>
      <c r="P227" s="149">
        <v>303.8</v>
      </c>
      <c r="Q227" s="149">
        <v>871.2</v>
      </c>
      <c r="R227" s="149">
        <v>295.7</v>
      </c>
      <c r="S227" s="149">
        <v>20.6</v>
      </c>
      <c r="T227" s="149">
        <v>37.1</v>
      </c>
      <c r="U227" s="149">
        <v>20</v>
      </c>
      <c r="V227" s="149">
        <v>757</v>
      </c>
      <c r="W227" s="149">
        <v>3.99</v>
      </c>
      <c r="X227" s="149">
        <v>36.700000000000003</v>
      </c>
      <c r="Y227" s="149">
        <v>474100</v>
      </c>
      <c r="Z227" s="149">
        <v>16050</v>
      </c>
      <c r="AA227" s="149">
        <v>35</v>
      </c>
      <c r="AB227" s="149">
        <v>6.44</v>
      </c>
      <c r="AC227" s="149">
        <v>10880</v>
      </c>
      <c r="AD227" s="149">
        <v>1086</v>
      </c>
      <c r="AE227" s="149">
        <v>12560</v>
      </c>
      <c r="AF227" s="149">
        <v>1712</v>
      </c>
      <c r="AG227" s="149">
        <v>0.874</v>
      </c>
      <c r="AH227" s="149">
        <v>26</v>
      </c>
      <c r="AI227" s="149">
        <v>27.9</v>
      </c>
      <c r="AJ227" s="149">
        <v>1281</v>
      </c>
      <c r="AK227" s="148">
        <v>387</v>
      </c>
    </row>
    <row r="228" spans="1:37" ht="15.6">
      <c r="A228" s="150" t="s">
        <v>441</v>
      </c>
      <c r="B228" s="149">
        <v>865.1</v>
      </c>
      <c r="C228" s="149">
        <v>294.10000000000002</v>
      </c>
      <c r="D228" s="149">
        <v>19.100000000000001</v>
      </c>
      <c r="E228" s="149">
        <v>34</v>
      </c>
      <c r="F228" s="149">
        <v>20</v>
      </c>
      <c r="G228" s="149">
        <v>757.1</v>
      </c>
      <c r="H228" s="149">
        <v>431500</v>
      </c>
      <c r="I228" s="149">
        <v>14470</v>
      </c>
      <c r="J228" s="149">
        <v>9975</v>
      </c>
      <c r="K228" s="149">
        <v>984</v>
      </c>
      <c r="L228" s="149">
        <v>11480</v>
      </c>
      <c r="M228" s="149">
        <v>1548</v>
      </c>
      <c r="N228" s="148">
        <v>356</v>
      </c>
      <c r="O228" s="150" t="s">
        <v>441</v>
      </c>
      <c r="P228" s="149">
        <v>279.2</v>
      </c>
      <c r="Q228" s="149">
        <v>865.1</v>
      </c>
      <c r="R228" s="149">
        <v>294.10000000000002</v>
      </c>
      <c r="S228" s="149">
        <v>19.100000000000001</v>
      </c>
      <c r="T228" s="149">
        <v>34</v>
      </c>
      <c r="U228" s="149">
        <v>20</v>
      </c>
      <c r="V228" s="149">
        <v>757.1</v>
      </c>
      <c r="W228" s="149">
        <v>4.33</v>
      </c>
      <c r="X228" s="149">
        <v>39.6</v>
      </c>
      <c r="Y228" s="149">
        <v>431500</v>
      </c>
      <c r="Z228" s="149">
        <v>14470</v>
      </c>
      <c r="AA228" s="149">
        <v>34.799999999999997</v>
      </c>
      <c r="AB228" s="149">
        <v>6.38</v>
      </c>
      <c r="AC228" s="149">
        <v>9975</v>
      </c>
      <c r="AD228" s="149">
        <v>984</v>
      </c>
      <c r="AE228" s="149">
        <v>11480</v>
      </c>
      <c r="AF228" s="149">
        <v>1548</v>
      </c>
      <c r="AG228" s="149">
        <v>0.874</v>
      </c>
      <c r="AH228" s="149">
        <v>28.1</v>
      </c>
      <c r="AI228" s="149">
        <v>25</v>
      </c>
      <c r="AJ228" s="149">
        <v>996</v>
      </c>
      <c r="AK228" s="148">
        <v>356</v>
      </c>
    </row>
    <row r="229" spans="1:37" ht="15.6">
      <c r="A229" s="150" t="s">
        <v>440</v>
      </c>
      <c r="B229" s="149">
        <v>859</v>
      </c>
      <c r="C229" s="149">
        <v>292.10000000000002</v>
      </c>
      <c r="D229" s="149">
        <v>17</v>
      </c>
      <c r="E229" s="149">
        <v>31</v>
      </c>
      <c r="F229" s="149">
        <v>20</v>
      </c>
      <c r="G229" s="149">
        <v>757</v>
      </c>
      <c r="H229" s="149">
        <v>387600</v>
      </c>
      <c r="I229" s="149">
        <v>12920</v>
      </c>
      <c r="J229" s="149">
        <v>9024</v>
      </c>
      <c r="K229" s="149">
        <v>884</v>
      </c>
      <c r="L229" s="149">
        <v>10330</v>
      </c>
      <c r="M229" s="149">
        <v>1385</v>
      </c>
      <c r="N229" s="148">
        <v>320</v>
      </c>
      <c r="O229" s="150" t="s">
        <v>440</v>
      </c>
      <c r="P229" s="149">
        <v>251.2</v>
      </c>
      <c r="Q229" s="149">
        <v>859</v>
      </c>
      <c r="R229" s="149">
        <v>292.10000000000002</v>
      </c>
      <c r="S229" s="149">
        <v>17</v>
      </c>
      <c r="T229" s="149">
        <v>31</v>
      </c>
      <c r="U229" s="149">
        <v>20</v>
      </c>
      <c r="V229" s="149">
        <v>757</v>
      </c>
      <c r="W229" s="149">
        <v>4.71</v>
      </c>
      <c r="X229" s="149">
        <v>44.5</v>
      </c>
      <c r="Y229" s="149">
        <v>387600</v>
      </c>
      <c r="Z229" s="149">
        <v>12920</v>
      </c>
      <c r="AA229" s="149">
        <v>34.799999999999997</v>
      </c>
      <c r="AB229" s="149">
        <v>6.35</v>
      </c>
      <c r="AC229" s="149">
        <v>9024</v>
      </c>
      <c r="AD229" s="149">
        <v>884</v>
      </c>
      <c r="AE229" s="149">
        <v>10330</v>
      </c>
      <c r="AF229" s="149">
        <v>1385</v>
      </c>
      <c r="AG229" s="149">
        <v>0.876</v>
      </c>
      <c r="AH229" s="149">
        <v>30.7</v>
      </c>
      <c r="AI229" s="149">
        <v>22.1</v>
      </c>
      <c r="AJ229" s="149">
        <v>746</v>
      </c>
      <c r="AK229" s="148">
        <v>320</v>
      </c>
    </row>
    <row r="230" spans="1:37" ht="15.6">
      <c r="A230" s="150" t="s">
        <v>439</v>
      </c>
      <c r="B230" s="149">
        <v>850.6</v>
      </c>
      <c r="C230" s="149">
        <v>293.8</v>
      </c>
      <c r="D230" s="149">
        <v>16.100000000000001</v>
      </c>
      <c r="E230" s="149">
        <v>26.8</v>
      </c>
      <c r="F230" s="149">
        <v>20</v>
      </c>
      <c r="G230" s="149">
        <v>757</v>
      </c>
      <c r="H230" s="149">
        <v>340500</v>
      </c>
      <c r="I230" s="149">
        <v>11360</v>
      </c>
      <c r="J230" s="149">
        <v>8007</v>
      </c>
      <c r="K230" s="149">
        <v>773</v>
      </c>
      <c r="L230" s="149">
        <v>9178</v>
      </c>
      <c r="M230" s="149">
        <v>1213</v>
      </c>
      <c r="N230" s="148">
        <v>289</v>
      </c>
      <c r="O230" s="150" t="s">
        <v>439</v>
      </c>
      <c r="P230" s="149">
        <v>227</v>
      </c>
      <c r="Q230" s="149">
        <v>850.6</v>
      </c>
      <c r="R230" s="149">
        <v>293.8</v>
      </c>
      <c r="S230" s="149">
        <v>16.100000000000001</v>
      </c>
      <c r="T230" s="149">
        <v>26.8</v>
      </c>
      <c r="U230" s="149">
        <v>20</v>
      </c>
      <c r="V230" s="149">
        <v>757</v>
      </c>
      <c r="W230" s="149">
        <v>5.48</v>
      </c>
      <c r="X230" s="149">
        <v>47</v>
      </c>
      <c r="Y230" s="149">
        <v>340500</v>
      </c>
      <c r="Z230" s="149">
        <v>11360</v>
      </c>
      <c r="AA230" s="149">
        <v>34.299999999999997</v>
      </c>
      <c r="AB230" s="149">
        <v>6.27</v>
      </c>
      <c r="AC230" s="149">
        <v>8007</v>
      </c>
      <c r="AD230" s="149">
        <v>773</v>
      </c>
      <c r="AE230" s="149">
        <v>9178</v>
      </c>
      <c r="AF230" s="149">
        <v>1213</v>
      </c>
      <c r="AG230" s="149">
        <v>0.87</v>
      </c>
      <c r="AH230" s="149">
        <v>34.700000000000003</v>
      </c>
      <c r="AI230" s="149">
        <v>19.3</v>
      </c>
      <c r="AJ230" s="149">
        <v>522</v>
      </c>
      <c r="AK230" s="148">
        <v>289</v>
      </c>
    </row>
    <row r="231" spans="1:37" ht="15.6">
      <c r="A231" s="150" t="s">
        <v>438</v>
      </c>
      <c r="B231" s="149">
        <v>845.8</v>
      </c>
      <c r="C231" s="149">
        <v>293</v>
      </c>
      <c r="D231" s="149">
        <v>15.4</v>
      </c>
      <c r="E231" s="149">
        <v>24.4</v>
      </c>
      <c r="F231" s="149">
        <v>20</v>
      </c>
      <c r="G231" s="149">
        <v>757</v>
      </c>
      <c r="H231" s="149">
        <v>311600</v>
      </c>
      <c r="I231" s="149">
        <v>10260</v>
      </c>
      <c r="J231" s="149">
        <v>7367</v>
      </c>
      <c r="K231" s="149">
        <v>700</v>
      </c>
      <c r="L231" s="149">
        <v>8453</v>
      </c>
      <c r="M231" s="149">
        <v>1099</v>
      </c>
      <c r="N231" s="148">
        <v>269</v>
      </c>
      <c r="O231" s="150" t="s">
        <v>438</v>
      </c>
      <c r="P231" s="149">
        <v>211.3</v>
      </c>
      <c r="Q231" s="149">
        <v>845.8</v>
      </c>
      <c r="R231" s="149">
        <v>293</v>
      </c>
      <c r="S231" s="149">
        <v>15.4</v>
      </c>
      <c r="T231" s="149">
        <v>24.4</v>
      </c>
      <c r="U231" s="149">
        <v>20</v>
      </c>
      <c r="V231" s="149">
        <v>757</v>
      </c>
      <c r="W231" s="149">
        <v>6</v>
      </c>
      <c r="X231" s="149">
        <v>49.2</v>
      </c>
      <c r="Y231" s="149">
        <v>311600</v>
      </c>
      <c r="Z231" s="149">
        <v>10260</v>
      </c>
      <c r="AA231" s="149">
        <v>34</v>
      </c>
      <c r="AB231" s="149">
        <v>6.17</v>
      </c>
      <c r="AC231" s="149">
        <v>7367</v>
      </c>
      <c r="AD231" s="149">
        <v>700</v>
      </c>
      <c r="AE231" s="149">
        <v>8453</v>
      </c>
      <c r="AF231" s="149">
        <v>1099</v>
      </c>
      <c r="AG231" s="149">
        <v>0.86699999999999999</v>
      </c>
      <c r="AH231" s="149">
        <v>37.5</v>
      </c>
      <c r="AI231" s="149">
        <v>17.3</v>
      </c>
      <c r="AJ231" s="149">
        <v>413</v>
      </c>
      <c r="AK231" s="148">
        <v>269</v>
      </c>
    </row>
    <row r="232" spans="1:37" ht="15.6">
      <c r="A232" s="150" t="s">
        <v>437</v>
      </c>
      <c r="B232" s="149">
        <v>840.5</v>
      </c>
      <c r="C232" s="149">
        <v>292.39999999999998</v>
      </c>
      <c r="D232" s="149">
        <v>14.7</v>
      </c>
      <c r="E232" s="149">
        <v>21.7</v>
      </c>
      <c r="F232" s="149">
        <v>20</v>
      </c>
      <c r="G232" s="149">
        <v>757.1</v>
      </c>
      <c r="H232" s="149">
        <v>280100</v>
      </c>
      <c r="I232" s="149">
        <v>9068</v>
      </c>
      <c r="J232" s="149">
        <v>6666</v>
      </c>
      <c r="K232" s="149">
        <v>620</v>
      </c>
      <c r="L232" s="149">
        <v>7666</v>
      </c>
      <c r="M232" s="149">
        <v>975</v>
      </c>
      <c r="N232" s="148">
        <v>248</v>
      </c>
      <c r="O232" s="150" t="s">
        <v>437</v>
      </c>
      <c r="P232" s="149">
        <v>194.3</v>
      </c>
      <c r="Q232" s="149">
        <v>840.5</v>
      </c>
      <c r="R232" s="149">
        <v>292.39999999999998</v>
      </c>
      <c r="S232" s="149">
        <v>14.7</v>
      </c>
      <c r="T232" s="149">
        <v>21.7</v>
      </c>
      <c r="U232" s="149">
        <v>20</v>
      </c>
      <c r="V232" s="149">
        <v>757.1</v>
      </c>
      <c r="W232" s="149">
        <v>6.74</v>
      </c>
      <c r="X232" s="149">
        <v>51.5</v>
      </c>
      <c r="Y232" s="149">
        <v>280100</v>
      </c>
      <c r="Z232" s="149">
        <v>9068</v>
      </c>
      <c r="AA232" s="149">
        <v>33.6</v>
      </c>
      <c r="AB232" s="149">
        <v>6.05</v>
      </c>
      <c r="AC232" s="149">
        <v>6666</v>
      </c>
      <c r="AD232" s="149">
        <v>620</v>
      </c>
      <c r="AE232" s="149">
        <v>7666</v>
      </c>
      <c r="AF232" s="149">
        <v>975</v>
      </c>
      <c r="AG232" s="149">
        <v>0.86299999999999999</v>
      </c>
      <c r="AH232" s="149">
        <v>41.3</v>
      </c>
      <c r="AI232" s="149">
        <v>15.2</v>
      </c>
      <c r="AJ232" s="149">
        <v>312</v>
      </c>
      <c r="AK232" s="148">
        <v>248</v>
      </c>
    </row>
    <row r="233" spans="1:37" ht="15.6">
      <c r="A233" s="147" t="s">
        <v>436</v>
      </c>
      <c r="B233" s="146">
        <v>834.6</v>
      </c>
      <c r="C233" s="146">
        <v>291.60000000000002</v>
      </c>
      <c r="D233" s="146">
        <v>14</v>
      </c>
      <c r="E233" s="146">
        <v>18.8</v>
      </c>
      <c r="F233" s="146">
        <v>20</v>
      </c>
      <c r="G233" s="146">
        <v>757</v>
      </c>
      <c r="H233" s="146">
        <v>246900</v>
      </c>
      <c r="I233" s="146">
        <v>7792</v>
      </c>
      <c r="J233" s="146">
        <v>5915</v>
      </c>
      <c r="K233" s="146">
        <v>534</v>
      </c>
      <c r="L233" s="146">
        <v>6831</v>
      </c>
      <c r="M233" s="146">
        <v>842</v>
      </c>
      <c r="N233" s="145">
        <v>225</v>
      </c>
      <c r="O233" s="147" t="s">
        <v>436</v>
      </c>
      <c r="P233" s="146">
        <v>176.4</v>
      </c>
      <c r="Q233" s="146">
        <v>834.6</v>
      </c>
      <c r="R233" s="146">
        <v>291.60000000000002</v>
      </c>
      <c r="S233" s="146">
        <v>14</v>
      </c>
      <c r="T233" s="146">
        <v>18.8</v>
      </c>
      <c r="U233" s="146">
        <v>20</v>
      </c>
      <c r="V233" s="146">
        <v>757</v>
      </c>
      <c r="W233" s="146">
        <v>7.76</v>
      </c>
      <c r="X233" s="146">
        <v>54.1</v>
      </c>
      <c r="Y233" s="146">
        <v>246900</v>
      </c>
      <c r="Z233" s="146">
        <v>7792</v>
      </c>
      <c r="AA233" s="146">
        <v>33.1</v>
      </c>
      <c r="AB233" s="146">
        <v>5.89</v>
      </c>
      <c r="AC233" s="146">
        <v>5915</v>
      </c>
      <c r="AD233" s="146">
        <v>534</v>
      </c>
      <c r="AE233" s="146">
        <v>6831</v>
      </c>
      <c r="AF233" s="146">
        <v>842</v>
      </c>
      <c r="AG233" s="146">
        <v>0.85599999999999998</v>
      </c>
      <c r="AH233" s="146">
        <v>46</v>
      </c>
      <c r="AI233" s="146">
        <v>13</v>
      </c>
      <c r="AJ233" s="146">
        <v>227</v>
      </c>
      <c r="AK233" s="145">
        <v>225</v>
      </c>
    </row>
    <row r="234" spans="1:37">
      <c r="A234" s="150" t="s">
        <v>435</v>
      </c>
      <c r="B234" s="149">
        <v>833</v>
      </c>
      <c r="C234" s="149">
        <v>393</v>
      </c>
      <c r="D234" s="149">
        <v>31.5</v>
      </c>
      <c r="E234" s="149">
        <v>56.9</v>
      </c>
      <c r="F234" s="149">
        <v>20</v>
      </c>
      <c r="G234" s="149">
        <v>679.2</v>
      </c>
      <c r="H234" s="149">
        <v>776600</v>
      </c>
      <c r="I234" s="149">
        <v>57760</v>
      </c>
      <c r="J234" s="149">
        <v>18650</v>
      </c>
      <c r="K234" s="149">
        <v>2940</v>
      </c>
      <c r="L234" s="149">
        <v>21550</v>
      </c>
      <c r="M234" s="149">
        <v>4579</v>
      </c>
      <c r="N234" s="148">
        <v>677</v>
      </c>
      <c r="O234" s="150" t="s">
        <v>435</v>
      </c>
      <c r="P234" s="149">
        <v>531.6</v>
      </c>
      <c r="Q234" s="149">
        <v>833</v>
      </c>
      <c r="R234" s="149">
        <v>393</v>
      </c>
      <c r="S234" s="149">
        <v>31.5</v>
      </c>
      <c r="T234" s="149">
        <v>56.9</v>
      </c>
      <c r="U234" s="149">
        <v>20</v>
      </c>
      <c r="V234" s="149">
        <v>679.2</v>
      </c>
      <c r="W234" s="149">
        <v>3.45</v>
      </c>
      <c r="X234" s="149">
        <v>21.6</v>
      </c>
      <c r="Y234" s="149">
        <v>776600</v>
      </c>
      <c r="Z234" s="149">
        <v>57760</v>
      </c>
      <c r="AA234" s="149">
        <v>33.9</v>
      </c>
      <c r="AB234" s="149">
        <v>9.24</v>
      </c>
      <c r="AC234" s="149">
        <v>18650</v>
      </c>
      <c r="AD234" s="149">
        <v>2940</v>
      </c>
      <c r="AE234" s="149">
        <v>21550</v>
      </c>
      <c r="AF234" s="149">
        <v>4579</v>
      </c>
      <c r="AG234" s="149">
        <v>0.88800000000000001</v>
      </c>
      <c r="AH234" s="149">
        <v>15.3</v>
      </c>
      <c r="AI234" s="149">
        <v>87</v>
      </c>
      <c r="AJ234" s="149">
        <v>5563</v>
      </c>
      <c r="AK234" s="148">
        <v>677</v>
      </c>
    </row>
    <row r="235" spans="1:37">
      <c r="A235" s="150" t="s">
        <v>434</v>
      </c>
      <c r="B235" s="149">
        <v>823</v>
      </c>
      <c r="C235" s="149">
        <v>390</v>
      </c>
      <c r="D235" s="149">
        <v>29</v>
      </c>
      <c r="E235" s="149">
        <v>52.1</v>
      </c>
      <c r="F235" s="149">
        <v>20</v>
      </c>
      <c r="G235" s="149">
        <v>678.8</v>
      </c>
      <c r="H235" s="149">
        <v>698800</v>
      </c>
      <c r="I235" s="149">
        <v>51670</v>
      </c>
      <c r="J235" s="149">
        <v>16980</v>
      </c>
      <c r="K235" s="149">
        <v>2650</v>
      </c>
      <c r="L235" s="149">
        <v>19530</v>
      </c>
      <c r="M235" s="149">
        <v>4120</v>
      </c>
      <c r="N235" s="148">
        <v>618</v>
      </c>
      <c r="O235" s="150" t="s">
        <v>434</v>
      </c>
      <c r="P235" s="149">
        <v>485.3</v>
      </c>
      <c r="Q235" s="149">
        <v>823</v>
      </c>
      <c r="R235" s="149">
        <v>390</v>
      </c>
      <c r="S235" s="149">
        <v>29</v>
      </c>
      <c r="T235" s="149">
        <v>52.1</v>
      </c>
      <c r="U235" s="149">
        <v>20</v>
      </c>
      <c r="V235" s="149">
        <v>678.8</v>
      </c>
      <c r="W235" s="149">
        <v>3.74</v>
      </c>
      <c r="X235" s="149">
        <v>23.4</v>
      </c>
      <c r="Y235" s="149">
        <v>698800</v>
      </c>
      <c r="Z235" s="149">
        <v>51670</v>
      </c>
      <c r="AA235" s="149">
        <v>33.6</v>
      </c>
      <c r="AB235" s="149">
        <v>9.14</v>
      </c>
      <c r="AC235" s="149">
        <v>16980</v>
      </c>
      <c r="AD235" s="149">
        <v>2650</v>
      </c>
      <c r="AE235" s="149">
        <v>19530</v>
      </c>
      <c r="AF235" s="149">
        <v>4120</v>
      </c>
      <c r="AG235" s="149">
        <v>0.88800000000000001</v>
      </c>
      <c r="AH235" s="149">
        <v>16.600000000000001</v>
      </c>
      <c r="AI235" s="149">
        <v>76.8</v>
      </c>
      <c r="AJ235" s="149">
        <v>4280</v>
      </c>
      <c r="AK235" s="148">
        <v>618</v>
      </c>
    </row>
    <row r="236" spans="1:37">
      <c r="A236" s="150" t="s">
        <v>433</v>
      </c>
      <c r="B236" s="149">
        <v>813</v>
      </c>
      <c r="C236" s="149">
        <v>387</v>
      </c>
      <c r="D236" s="149">
        <v>25.9</v>
      </c>
      <c r="E236" s="149">
        <v>47</v>
      </c>
      <c r="F236" s="149">
        <v>20</v>
      </c>
      <c r="G236" s="149">
        <v>679</v>
      </c>
      <c r="H236" s="149">
        <v>618800</v>
      </c>
      <c r="I236" s="149">
        <v>45520</v>
      </c>
      <c r="J236" s="149">
        <v>15220</v>
      </c>
      <c r="K236" s="149">
        <v>2352</v>
      </c>
      <c r="L236" s="149">
        <v>17400</v>
      </c>
      <c r="M236" s="149">
        <v>3646</v>
      </c>
      <c r="N236" s="148">
        <v>553</v>
      </c>
      <c r="O236" s="150" t="s">
        <v>433</v>
      </c>
      <c r="P236" s="149">
        <v>434.4</v>
      </c>
      <c r="Q236" s="149">
        <v>813</v>
      </c>
      <c r="R236" s="149">
        <v>387</v>
      </c>
      <c r="S236" s="149">
        <v>25.9</v>
      </c>
      <c r="T236" s="149">
        <v>47</v>
      </c>
      <c r="U236" s="149">
        <v>20</v>
      </c>
      <c r="V236" s="149">
        <v>679</v>
      </c>
      <c r="W236" s="149">
        <v>4.12</v>
      </c>
      <c r="X236" s="149">
        <v>26.2</v>
      </c>
      <c r="Y236" s="149">
        <v>618800</v>
      </c>
      <c r="Z236" s="149">
        <v>45520</v>
      </c>
      <c r="AA236" s="149">
        <v>33.4</v>
      </c>
      <c r="AB236" s="149">
        <v>9.07</v>
      </c>
      <c r="AC236" s="149">
        <v>15220</v>
      </c>
      <c r="AD236" s="149">
        <v>2352</v>
      </c>
      <c r="AE236" s="149">
        <v>17400</v>
      </c>
      <c r="AF236" s="149">
        <v>3646</v>
      </c>
      <c r="AG236" s="149">
        <v>0.88900000000000001</v>
      </c>
      <c r="AH236" s="149">
        <v>18.2</v>
      </c>
      <c r="AI236" s="149">
        <v>66.8</v>
      </c>
      <c r="AJ236" s="149">
        <v>3127</v>
      </c>
      <c r="AK236" s="148">
        <v>553</v>
      </c>
    </row>
    <row r="237" spans="1:37">
      <c r="A237" s="150" t="s">
        <v>432</v>
      </c>
      <c r="B237" s="149">
        <v>803</v>
      </c>
      <c r="C237" s="149">
        <v>385</v>
      </c>
      <c r="D237" s="149">
        <v>23.6</v>
      </c>
      <c r="E237" s="149">
        <v>41.9</v>
      </c>
      <c r="F237" s="149">
        <v>20</v>
      </c>
      <c r="G237" s="149">
        <v>679.2</v>
      </c>
      <c r="H237" s="149">
        <v>545200</v>
      </c>
      <c r="I237" s="149">
        <v>39940</v>
      </c>
      <c r="J237" s="149">
        <v>13580</v>
      </c>
      <c r="K237" s="149">
        <v>2075</v>
      </c>
      <c r="L237" s="149">
        <v>15450</v>
      </c>
      <c r="M237" s="149">
        <v>3211</v>
      </c>
      <c r="N237" s="148">
        <v>496</v>
      </c>
      <c r="O237" s="150" t="s">
        <v>432</v>
      </c>
      <c r="P237" s="149">
        <v>389.2</v>
      </c>
      <c r="Q237" s="149">
        <v>803</v>
      </c>
      <c r="R237" s="149">
        <v>385</v>
      </c>
      <c r="S237" s="149">
        <v>23.6</v>
      </c>
      <c r="T237" s="149">
        <v>41.9</v>
      </c>
      <c r="U237" s="149">
        <v>20</v>
      </c>
      <c r="V237" s="149">
        <v>679.2</v>
      </c>
      <c r="W237" s="149">
        <v>4.59</v>
      </c>
      <c r="X237" s="149">
        <v>28.8</v>
      </c>
      <c r="Y237" s="149">
        <v>545200</v>
      </c>
      <c r="Z237" s="149">
        <v>39940</v>
      </c>
      <c r="AA237" s="149">
        <v>33.200000000000003</v>
      </c>
      <c r="AB237" s="149">
        <v>8.98</v>
      </c>
      <c r="AC237" s="149">
        <v>13580</v>
      </c>
      <c r="AD237" s="149">
        <v>2075</v>
      </c>
      <c r="AE237" s="149">
        <v>15450</v>
      </c>
      <c r="AF237" s="149">
        <v>3211</v>
      </c>
      <c r="AG237" s="149">
        <v>0.88800000000000001</v>
      </c>
      <c r="AH237" s="149">
        <v>20.2</v>
      </c>
      <c r="AI237" s="149">
        <v>57.8</v>
      </c>
      <c r="AJ237" s="149">
        <v>2248</v>
      </c>
      <c r="AK237" s="148">
        <v>496</v>
      </c>
    </row>
    <row r="238" spans="1:37">
      <c r="A238" s="150" t="s">
        <v>431</v>
      </c>
      <c r="B238" s="149">
        <v>795</v>
      </c>
      <c r="C238" s="149">
        <v>382</v>
      </c>
      <c r="D238" s="149">
        <v>21.1</v>
      </c>
      <c r="E238" s="149">
        <v>38.1</v>
      </c>
      <c r="F238" s="149">
        <v>20</v>
      </c>
      <c r="G238" s="149">
        <v>678.8</v>
      </c>
      <c r="H238" s="149">
        <v>486900</v>
      </c>
      <c r="I238" s="149">
        <v>35460</v>
      </c>
      <c r="J238" s="149">
        <v>12250</v>
      </c>
      <c r="K238" s="149">
        <v>1857</v>
      </c>
      <c r="L238" s="149">
        <v>13860</v>
      </c>
      <c r="M238" s="149">
        <v>2865</v>
      </c>
      <c r="N238" s="148">
        <v>446</v>
      </c>
      <c r="O238" s="150" t="s">
        <v>431</v>
      </c>
      <c r="P238" s="149">
        <v>350.3</v>
      </c>
      <c r="Q238" s="149">
        <v>795</v>
      </c>
      <c r="R238" s="149">
        <v>382</v>
      </c>
      <c r="S238" s="149">
        <v>21.1</v>
      </c>
      <c r="T238" s="149">
        <v>38.1</v>
      </c>
      <c r="U238" s="149">
        <v>20</v>
      </c>
      <c r="V238" s="149">
        <v>678.8</v>
      </c>
      <c r="W238" s="149">
        <v>5.01</v>
      </c>
      <c r="X238" s="149">
        <v>32.200000000000003</v>
      </c>
      <c r="Y238" s="149">
        <v>486900</v>
      </c>
      <c r="Z238" s="149">
        <v>35460</v>
      </c>
      <c r="AA238" s="149">
        <v>33</v>
      </c>
      <c r="AB238" s="149">
        <v>8.91</v>
      </c>
      <c r="AC238" s="149">
        <v>12250</v>
      </c>
      <c r="AD238" s="149">
        <v>1857</v>
      </c>
      <c r="AE238" s="149">
        <v>13860</v>
      </c>
      <c r="AF238" s="149">
        <v>2865</v>
      </c>
      <c r="AG238" s="149">
        <v>0.88900000000000001</v>
      </c>
      <c r="AH238" s="149">
        <v>22.1</v>
      </c>
      <c r="AI238" s="149">
        <v>50.8</v>
      </c>
      <c r="AJ238" s="149">
        <v>1675</v>
      </c>
      <c r="AK238" s="148">
        <v>446</v>
      </c>
    </row>
    <row r="239" spans="1:37">
      <c r="A239" s="150" t="s">
        <v>430</v>
      </c>
      <c r="B239" s="149">
        <v>785.9</v>
      </c>
      <c r="C239" s="149">
        <v>383.7</v>
      </c>
      <c r="D239" s="149">
        <v>19.7</v>
      </c>
      <c r="E239" s="149">
        <v>33.4</v>
      </c>
      <c r="F239" s="149">
        <v>20</v>
      </c>
      <c r="G239" s="149">
        <v>679.1</v>
      </c>
      <c r="H239" s="149">
        <v>428500</v>
      </c>
      <c r="I239" s="149">
        <v>31500</v>
      </c>
      <c r="J239" s="149">
        <v>10900</v>
      </c>
      <c r="K239" s="149">
        <v>1642</v>
      </c>
      <c r="L239" s="149">
        <v>12310</v>
      </c>
      <c r="M239" s="149">
        <v>2533</v>
      </c>
      <c r="N239" s="148">
        <v>401</v>
      </c>
      <c r="O239" s="150" t="s">
        <v>430</v>
      </c>
      <c r="P239" s="149">
        <v>315.10000000000002</v>
      </c>
      <c r="Q239" s="149">
        <v>785.9</v>
      </c>
      <c r="R239" s="149">
        <v>383.7</v>
      </c>
      <c r="S239" s="149">
        <v>19.7</v>
      </c>
      <c r="T239" s="149">
        <v>33.4</v>
      </c>
      <c r="U239" s="149">
        <v>20</v>
      </c>
      <c r="V239" s="149">
        <v>679.1</v>
      </c>
      <c r="W239" s="149">
        <v>5.74</v>
      </c>
      <c r="X239" s="149">
        <v>34.5</v>
      </c>
      <c r="Y239" s="149">
        <v>428500</v>
      </c>
      <c r="Z239" s="149">
        <v>31500</v>
      </c>
      <c r="AA239" s="149">
        <v>32.700000000000003</v>
      </c>
      <c r="AB239" s="149">
        <v>8.86</v>
      </c>
      <c r="AC239" s="149">
        <v>10900</v>
      </c>
      <c r="AD239" s="149">
        <v>1642</v>
      </c>
      <c r="AE239" s="149">
        <v>12310</v>
      </c>
      <c r="AF239" s="149">
        <v>2533</v>
      </c>
      <c r="AG239" s="149">
        <v>0.88600000000000001</v>
      </c>
      <c r="AH239" s="149">
        <v>24.8</v>
      </c>
      <c r="AI239" s="149">
        <v>44.6</v>
      </c>
      <c r="AJ239" s="149">
        <v>1182</v>
      </c>
      <c r="AK239" s="148">
        <v>401</v>
      </c>
    </row>
    <row r="240" spans="1:37">
      <c r="A240" s="150" t="s">
        <v>429</v>
      </c>
      <c r="B240" s="149">
        <v>779.3</v>
      </c>
      <c r="C240" s="149">
        <v>382</v>
      </c>
      <c r="D240" s="149">
        <v>18</v>
      </c>
      <c r="E240" s="149">
        <v>30.1</v>
      </c>
      <c r="F240" s="149">
        <v>20</v>
      </c>
      <c r="G240" s="149">
        <v>679.1</v>
      </c>
      <c r="H240" s="149">
        <v>383000</v>
      </c>
      <c r="I240" s="149">
        <v>28010</v>
      </c>
      <c r="J240" s="149">
        <v>9829</v>
      </c>
      <c r="K240" s="149">
        <v>1466</v>
      </c>
      <c r="L240" s="149">
        <v>11060</v>
      </c>
      <c r="M240" s="149">
        <v>2259</v>
      </c>
      <c r="N240" s="148">
        <v>363</v>
      </c>
      <c r="O240" s="150" t="s">
        <v>429</v>
      </c>
      <c r="P240" s="149">
        <v>284.8</v>
      </c>
      <c r="Q240" s="149">
        <v>779.3</v>
      </c>
      <c r="R240" s="149">
        <v>382</v>
      </c>
      <c r="S240" s="149">
        <v>18</v>
      </c>
      <c r="T240" s="149">
        <v>30.1</v>
      </c>
      <c r="U240" s="149">
        <v>20</v>
      </c>
      <c r="V240" s="149">
        <v>679.1</v>
      </c>
      <c r="W240" s="149">
        <v>6.35</v>
      </c>
      <c r="X240" s="149">
        <v>37.700000000000003</v>
      </c>
      <c r="Y240" s="149">
        <v>383000</v>
      </c>
      <c r="Z240" s="149">
        <v>28010</v>
      </c>
      <c r="AA240" s="149">
        <v>32.5</v>
      </c>
      <c r="AB240" s="149">
        <v>8.7899999999999991</v>
      </c>
      <c r="AC240" s="149">
        <v>9829</v>
      </c>
      <c r="AD240" s="149">
        <v>1466</v>
      </c>
      <c r="AE240" s="149">
        <v>11060</v>
      </c>
      <c r="AF240" s="149">
        <v>2259</v>
      </c>
      <c r="AG240" s="149">
        <v>0.88500000000000001</v>
      </c>
      <c r="AH240" s="149">
        <v>27.3</v>
      </c>
      <c r="AI240" s="149">
        <v>39.299999999999997</v>
      </c>
      <c r="AJ240" s="149">
        <v>875</v>
      </c>
      <c r="AK240" s="148">
        <v>363</v>
      </c>
    </row>
    <row r="241" spans="1:37">
      <c r="A241" s="150" t="s">
        <v>428</v>
      </c>
      <c r="B241" s="149">
        <v>773.2</v>
      </c>
      <c r="C241" s="149">
        <v>380.6</v>
      </c>
      <c r="D241" s="149">
        <v>16.600000000000001</v>
      </c>
      <c r="E241" s="149">
        <v>27.1</v>
      </c>
      <c r="F241" s="149">
        <v>20</v>
      </c>
      <c r="G241" s="149">
        <v>679</v>
      </c>
      <c r="H241" s="149">
        <v>343000</v>
      </c>
      <c r="I241" s="149">
        <v>24930</v>
      </c>
      <c r="J241" s="149">
        <v>8871</v>
      </c>
      <c r="K241" s="149">
        <v>1310</v>
      </c>
      <c r="L241" s="149">
        <v>9963</v>
      </c>
      <c r="M241" s="149">
        <v>2017</v>
      </c>
      <c r="N241" s="148">
        <v>329</v>
      </c>
      <c r="O241" s="150" t="s">
        <v>428</v>
      </c>
      <c r="P241" s="149">
        <v>258.3</v>
      </c>
      <c r="Q241" s="149">
        <v>773.2</v>
      </c>
      <c r="R241" s="149">
        <v>380.6</v>
      </c>
      <c r="S241" s="149">
        <v>16.600000000000001</v>
      </c>
      <c r="T241" s="149">
        <v>27.1</v>
      </c>
      <c r="U241" s="149">
        <v>20</v>
      </c>
      <c r="V241" s="149">
        <v>679</v>
      </c>
      <c r="W241" s="149">
        <v>7.02</v>
      </c>
      <c r="X241" s="149">
        <v>40.9</v>
      </c>
      <c r="Y241" s="149">
        <v>343000</v>
      </c>
      <c r="Z241" s="149">
        <v>24930</v>
      </c>
      <c r="AA241" s="149">
        <v>32.299999999999997</v>
      </c>
      <c r="AB241" s="149">
        <v>8.6999999999999993</v>
      </c>
      <c r="AC241" s="149">
        <v>8871</v>
      </c>
      <c r="AD241" s="149">
        <v>1310</v>
      </c>
      <c r="AE241" s="149">
        <v>9963</v>
      </c>
      <c r="AF241" s="149">
        <v>2017</v>
      </c>
      <c r="AG241" s="149">
        <v>0.88400000000000001</v>
      </c>
      <c r="AH241" s="149">
        <v>30</v>
      </c>
      <c r="AI241" s="149">
        <v>34.700000000000003</v>
      </c>
      <c r="AJ241" s="149">
        <v>651</v>
      </c>
      <c r="AK241" s="148">
        <v>329</v>
      </c>
    </row>
    <row r="242" spans="1:37" ht="15.6">
      <c r="A242" s="150" t="s">
        <v>427</v>
      </c>
      <c r="B242" s="149">
        <v>835.2</v>
      </c>
      <c r="C242" s="149">
        <v>281.7</v>
      </c>
      <c r="D242" s="149">
        <v>32</v>
      </c>
      <c r="E242" s="149">
        <v>57.9</v>
      </c>
      <c r="F242" s="149">
        <v>20</v>
      </c>
      <c r="G242" s="149">
        <v>679.4</v>
      </c>
      <c r="H242" s="149">
        <v>597300</v>
      </c>
      <c r="I242" s="149">
        <v>21780</v>
      </c>
      <c r="J242" s="149">
        <v>14300</v>
      </c>
      <c r="K242" s="149">
        <v>1547</v>
      </c>
      <c r="L242" s="149">
        <v>16940</v>
      </c>
      <c r="M242" s="149">
        <v>2489</v>
      </c>
      <c r="N242" s="148">
        <v>560</v>
      </c>
      <c r="O242" s="150" t="s">
        <v>427</v>
      </c>
      <c r="P242" s="149">
        <v>439.5</v>
      </c>
      <c r="Q242" s="149">
        <v>835.2</v>
      </c>
      <c r="R242" s="149">
        <v>281.7</v>
      </c>
      <c r="S242" s="149">
        <v>32</v>
      </c>
      <c r="T242" s="149">
        <v>57.9</v>
      </c>
      <c r="U242" s="149">
        <v>20</v>
      </c>
      <c r="V242" s="149">
        <v>679.4</v>
      </c>
      <c r="W242" s="149">
        <v>2.4300000000000002</v>
      </c>
      <c r="X242" s="149">
        <v>21.2</v>
      </c>
      <c r="Y242" s="149">
        <v>597300</v>
      </c>
      <c r="Z242" s="149">
        <v>21780</v>
      </c>
      <c r="AA242" s="149">
        <v>32.700000000000003</v>
      </c>
      <c r="AB242" s="149">
        <v>6.24</v>
      </c>
      <c r="AC242" s="149">
        <v>14300</v>
      </c>
      <c r="AD242" s="149">
        <v>1547</v>
      </c>
      <c r="AE242" s="149">
        <v>16940</v>
      </c>
      <c r="AF242" s="149">
        <v>2489</v>
      </c>
      <c r="AG242" s="149">
        <v>0.874</v>
      </c>
      <c r="AH242" s="149">
        <v>15.7</v>
      </c>
      <c r="AI242" s="149">
        <v>32.9</v>
      </c>
      <c r="AJ242" s="149">
        <v>4410</v>
      </c>
      <c r="AK242" s="148">
        <v>560</v>
      </c>
    </row>
    <row r="243" spans="1:37" ht="15.6">
      <c r="A243" s="150" t="s">
        <v>426</v>
      </c>
      <c r="B243" s="149">
        <v>825</v>
      </c>
      <c r="C243" s="149">
        <v>279.10000000000002</v>
      </c>
      <c r="D243" s="149">
        <v>29.5</v>
      </c>
      <c r="E243" s="149">
        <v>53.1</v>
      </c>
      <c r="F243" s="149">
        <v>20</v>
      </c>
      <c r="G243" s="149">
        <v>678.8</v>
      </c>
      <c r="H243" s="149">
        <v>537800</v>
      </c>
      <c r="I243" s="149">
        <v>19410</v>
      </c>
      <c r="J243" s="149">
        <v>13040</v>
      </c>
      <c r="K243" s="149">
        <v>1391</v>
      </c>
      <c r="L243" s="149">
        <v>15370</v>
      </c>
      <c r="M243" s="149">
        <v>2231</v>
      </c>
      <c r="N243" s="148">
        <v>512</v>
      </c>
      <c r="O243" s="150" t="s">
        <v>426</v>
      </c>
      <c r="P243" s="149">
        <v>401.8</v>
      </c>
      <c r="Q243" s="149">
        <v>825</v>
      </c>
      <c r="R243" s="149">
        <v>279.10000000000002</v>
      </c>
      <c r="S243" s="149">
        <v>29.5</v>
      </c>
      <c r="T243" s="149">
        <v>53.1</v>
      </c>
      <c r="U243" s="149">
        <v>20</v>
      </c>
      <c r="V243" s="149">
        <v>678.8</v>
      </c>
      <c r="W243" s="149">
        <v>2.63</v>
      </c>
      <c r="X243" s="149">
        <v>23</v>
      </c>
      <c r="Y243" s="149">
        <v>537800</v>
      </c>
      <c r="Z243" s="149">
        <v>19410</v>
      </c>
      <c r="AA243" s="149">
        <v>32.4</v>
      </c>
      <c r="AB243" s="149">
        <v>6.16</v>
      </c>
      <c r="AC243" s="149">
        <v>13040</v>
      </c>
      <c r="AD243" s="149">
        <v>1391</v>
      </c>
      <c r="AE243" s="149">
        <v>15370</v>
      </c>
      <c r="AF243" s="149">
        <v>2231</v>
      </c>
      <c r="AG243" s="149">
        <v>0.874</v>
      </c>
      <c r="AH243" s="149">
        <v>16.899999999999999</v>
      </c>
      <c r="AI243" s="149">
        <v>28.9</v>
      </c>
      <c r="AJ243" s="149">
        <v>3414</v>
      </c>
      <c r="AK243" s="148">
        <v>512</v>
      </c>
    </row>
    <row r="244" spans="1:37" ht="15.6">
      <c r="A244" s="150" t="s">
        <v>425</v>
      </c>
      <c r="B244" s="149">
        <v>817.1</v>
      </c>
      <c r="C244" s="149">
        <v>276.60000000000002</v>
      </c>
      <c r="D244" s="149">
        <v>26.9</v>
      </c>
      <c r="E244" s="149">
        <v>49</v>
      </c>
      <c r="F244" s="149">
        <v>20</v>
      </c>
      <c r="G244" s="149">
        <v>679.1</v>
      </c>
      <c r="H244" s="149">
        <v>488000</v>
      </c>
      <c r="I244" s="149">
        <v>17410</v>
      </c>
      <c r="J244" s="149">
        <v>11950</v>
      </c>
      <c r="K244" s="149">
        <v>1259</v>
      </c>
      <c r="L244" s="149">
        <v>14010</v>
      </c>
      <c r="M244" s="149">
        <v>2011</v>
      </c>
      <c r="N244" s="148">
        <v>468</v>
      </c>
      <c r="O244" s="150" t="s">
        <v>425</v>
      </c>
      <c r="P244" s="149">
        <v>367.3</v>
      </c>
      <c r="Q244" s="149">
        <v>817.1</v>
      </c>
      <c r="R244" s="149">
        <v>276.60000000000002</v>
      </c>
      <c r="S244" s="149">
        <v>26.9</v>
      </c>
      <c r="T244" s="149">
        <v>49</v>
      </c>
      <c r="U244" s="149">
        <v>20</v>
      </c>
      <c r="V244" s="149">
        <v>679.1</v>
      </c>
      <c r="W244" s="149">
        <v>2.82</v>
      </c>
      <c r="X244" s="149">
        <v>25.2</v>
      </c>
      <c r="Y244" s="149">
        <v>488000</v>
      </c>
      <c r="Z244" s="149">
        <v>17410</v>
      </c>
      <c r="AA244" s="149">
        <v>32.299999999999997</v>
      </c>
      <c r="AB244" s="149">
        <v>6.1</v>
      </c>
      <c r="AC244" s="149">
        <v>11950</v>
      </c>
      <c r="AD244" s="149">
        <v>1259</v>
      </c>
      <c r="AE244" s="149">
        <v>14010</v>
      </c>
      <c r="AF244" s="149">
        <v>2011</v>
      </c>
      <c r="AG244" s="149">
        <v>0.875</v>
      </c>
      <c r="AH244" s="149">
        <v>18.2</v>
      </c>
      <c r="AI244" s="149">
        <v>25.7</v>
      </c>
      <c r="AJ244" s="149">
        <v>2661</v>
      </c>
      <c r="AK244" s="148">
        <v>468</v>
      </c>
    </row>
    <row r="245" spans="1:37" ht="15.6">
      <c r="A245" s="150" t="s">
        <v>424</v>
      </c>
      <c r="B245" s="149">
        <v>809</v>
      </c>
      <c r="C245" s="149">
        <v>274.60000000000002</v>
      </c>
      <c r="D245" s="149">
        <v>24.9</v>
      </c>
      <c r="E245" s="149">
        <v>44.9</v>
      </c>
      <c r="F245" s="149">
        <v>20</v>
      </c>
      <c r="G245" s="149">
        <v>679.2</v>
      </c>
      <c r="H245" s="149">
        <v>441900</v>
      </c>
      <c r="I245" s="149">
        <v>15600</v>
      </c>
      <c r="J245" s="149">
        <v>10920</v>
      </c>
      <c r="K245" s="149">
        <v>1136</v>
      </c>
      <c r="L245" s="149">
        <v>12760</v>
      </c>
      <c r="M245" s="149">
        <v>1810</v>
      </c>
      <c r="N245" s="148">
        <v>429</v>
      </c>
      <c r="O245" s="150" t="s">
        <v>424</v>
      </c>
      <c r="P245" s="149">
        <v>336.8</v>
      </c>
      <c r="Q245" s="149">
        <v>809</v>
      </c>
      <c r="R245" s="149">
        <v>274.60000000000002</v>
      </c>
      <c r="S245" s="149">
        <v>24.9</v>
      </c>
      <c r="T245" s="149">
        <v>44.9</v>
      </c>
      <c r="U245" s="149">
        <v>20</v>
      </c>
      <c r="V245" s="149">
        <v>679.2</v>
      </c>
      <c r="W245" s="149">
        <v>3.06</v>
      </c>
      <c r="X245" s="149">
        <v>27.3</v>
      </c>
      <c r="Y245" s="149">
        <v>441900</v>
      </c>
      <c r="Z245" s="149">
        <v>15600</v>
      </c>
      <c r="AA245" s="149">
        <v>32.1</v>
      </c>
      <c r="AB245" s="149">
        <v>6.03</v>
      </c>
      <c r="AC245" s="149">
        <v>10920</v>
      </c>
      <c r="AD245" s="149">
        <v>1136</v>
      </c>
      <c r="AE245" s="149">
        <v>12760</v>
      </c>
      <c r="AF245" s="149">
        <v>1810</v>
      </c>
      <c r="AG245" s="149">
        <v>0.874</v>
      </c>
      <c r="AH245" s="149">
        <v>19.7</v>
      </c>
      <c r="AI245" s="149">
        <v>22.8</v>
      </c>
      <c r="AJ245" s="149">
        <v>2066</v>
      </c>
      <c r="AK245" s="148">
        <v>429</v>
      </c>
    </row>
    <row r="246" spans="1:37" ht="15.6">
      <c r="A246" s="150" t="s">
        <v>423</v>
      </c>
      <c r="B246" s="149">
        <v>801.1</v>
      </c>
      <c r="C246" s="149">
        <v>272.7</v>
      </c>
      <c r="D246" s="149">
        <v>23.1</v>
      </c>
      <c r="E246" s="149">
        <v>40.9</v>
      </c>
      <c r="F246" s="149">
        <v>20</v>
      </c>
      <c r="G246" s="149">
        <v>679.3</v>
      </c>
      <c r="H246" s="149">
        <v>398600</v>
      </c>
      <c r="I246" s="149">
        <v>13910</v>
      </c>
      <c r="J246" s="149">
        <v>9950</v>
      </c>
      <c r="K246" s="149">
        <v>1020</v>
      </c>
      <c r="L246" s="149">
        <v>11590</v>
      </c>
      <c r="M246" s="149">
        <v>1622</v>
      </c>
      <c r="N246" s="148">
        <v>393</v>
      </c>
      <c r="O246" s="150" t="s">
        <v>423</v>
      </c>
      <c r="P246" s="149">
        <v>308.2</v>
      </c>
      <c r="Q246" s="149">
        <v>801.1</v>
      </c>
      <c r="R246" s="149">
        <v>272.7</v>
      </c>
      <c r="S246" s="149">
        <v>23.1</v>
      </c>
      <c r="T246" s="149">
        <v>40.9</v>
      </c>
      <c r="U246" s="149">
        <v>20</v>
      </c>
      <c r="V246" s="149">
        <v>679.3</v>
      </c>
      <c r="W246" s="149">
        <v>3.33</v>
      </c>
      <c r="X246" s="149">
        <v>29.4</v>
      </c>
      <c r="Y246" s="149">
        <v>398600</v>
      </c>
      <c r="Z246" s="149">
        <v>13910</v>
      </c>
      <c r="AA246" s="149">
        <v>31.9</v>
      </c>
      <c r="AB246" s="149">
        <v>5.95</v>
      </c>
      <c r="AC246" s="149">
        <v>9950</v>
      </c>
      <c r="AD246" s="149">
        <v>1020</v>
      </c>
      <c r="AE246" s="149">
        <v>11590</v>
      </c>
      <c r="AF246" s="149">
        <v>1622</v>
      </c>
      <c r="AG246" s="149">
        <v>0.873</v>
      </c>
      <c r="AH246" s="149">
        <v>21.4</v>
      </c>
      <c r="AI246" s="149">
        <v>20.100000000000001</v>
      </c>
      <c r="AJ246" s="149">
        <v>1585</v>
      </c>
      <c r="AK246" s="148">
        <v>393</v>
      </c>
    </row>
    <row r="247" spans="1:37" ht="15.6">
      <c r="A247" s="150" t="s">
        <v>422</v>
      </c>
      <c r="B247" s="149">
        <v>793</v>
      </c>
      <c r="C247" s="149">
        <v>270.10000000000002</v>
      </c>
      <c r="D247" s="149">
        <v>20.6</v>
      </c>
      <c r="E247" s="149">
        <v>37.1</v>
      </c>
      <c r="F247" s="149">
        <v>20</v>
      </c>
      <c r="G247" s="149">
        <v>678.8</v>
      </c>
      <c r="H247" s="149">
        <v>354600</v>
      </c>
      <c r="I247" s="149">
        <v>12240</v>
      </c>
      <c r="J247" s="149">
        <v>8943</v>
      </c>
      <c r="K247" s="149">
        <v>907</v>
      </c>
      <c r="L247" s="149">
        <v>10360</v>
      </c>
      <c r="M247" s="149">
        <v>1435</v>
      </c>
      <c r="N247" s="148">
        <v>352</v>
      </c>
      <c r="O247" s="150" t="s">
        <v>422</v>
      </c>
      <c r="P247" s="149">
        <v>276.3</v>
      </c>
      <c r="Q247" s="149">
        <v>793</v>
      </c>
      <c r="R247" s="149">
        <v>270.10000000000002</v>
      </c>
      <c r="S247" s="149">
        <v>20.6</v>
      </c>
      <c r="T247" s="149">
        <v>37.1</v>
      </c>
      <c r="U247" s="149">
        <v>20</v>
      </c>
      <c r="V247" s="149">
        <v>678.8</v>
      </c>
      <c r="W247" s="149">
        <v>3.64</v>
      </c>
      <c r="X247" s="149">
        <v>33</v>
      </c>
      <c r="Y247" s="149">
        <v>354600</v>
      </c>
      <c r="Z247" s="149">
        <v>12240</v>
      </c>
      <c r="AA247" s="149">
        <v>31.7</v>
      </c>
      <c r="AB247" s="149">
        <v>5.9</v>
      </c>
      <c r="AC247" s="149">
        <v>8943</v>
      </c>
      <c r="AD247" s="149">
        <v>907</v>
      </c>
      <c r="AE247" s="149">
        <v>10360</v>
      </c>
      <c r="AF247" s="149">
        <v>1435</v>
      </c>
      <c r="AG247" s="149">
        <v>0.875</v>
      </c>
      <c r="AH247" s="149">
        <v>23.5</v>
      </c>
      <c r="AI247" s="149">
        <v>17.5</v>
      </c>
      <c r="AJ247" s="149">
        <v>1171</v>
      </c>
      <c r="AK247" s="148">
        <v>352</v>
      </c>
    </row>
    <row r="248" spans="1:37" ht="15.6">
      <c r="A248" s="150" t="s">
        <v>421</v>
      </c>
      <c r="B248" s="149">
        <v>785.1</v>
      </c>
      <c r="C248" s="149">
        <v>268.10000000000002</v>
      </c>
      <c r="D248" s="149">
        <v>18.5</v>
      </c>
      <c r="E248" s="149">
        <v>33</v>
      </c>
      <c r="F248" s="149">
        <v>20</v>
      </c>
      <c r="G248" s="149">
        <v>679.1</v>
      </c>
      <c r="H248" s="149">
        <v>312000</v>
      </c>
      <c r="I248" s="149">
        <v>10640</v>
      </c>
      <c r="J248" s="149">
        <v>7949</v>
      </c>
      <c r="K248" s="149">
        <v>794</v>
      </c>
      <c r="L248" s="149">
        <v>9168</v>
      </c>
      <c r="M248" s="149">
        <v>1252</v>
      </c>
      <c r="N248" s="148">
        <v>313</v>
      </c>
      <c r="O248" s="150" t="s">
        <v>421</v>
      </c>
      <c r="P248" s="149">
        <v>246</v>
      </c>
      <c r="Q248" s="149">
        <v>785.1</v>
      </c>
      <c r="R248" s="149">
        <v>268.10000000000002</v>
      </c>
      <c r="S248" s="149">
        <v>18.5</v>
      </c>
      <c r="T248" s="149">
        <v>33</v>
      </c>
      <c r="U248" s="149">
        <v>20</v>
      </c>
      <c r="V248" s="149">
        <v>679.1</v>
      </c>
      <c r="W248" s="149">
        <v>4.0599999999999996</v>
      </c>
      <c r="X248" s="149">
        <v>36.700000000000003</v>
      </c>
      <c r="Y248" s="149">
        <v>312000</v>
      </c>
      <c r="Z248" s="149">
        <v>10640</v>
      </c>
      <c r="AA248" s="149">
        <v>31.6</v>
      </c>
      <c r="AB248" s="149">
        <v>5.83</v>
      </c>
      <c r="AC248" s="149">
        <v>7949</v>
      </c>
      <c r="AD248" s="149">
        <v>794</v>
      </c>
      <c r="AE248" s="149">
        <v>9168</v>
      </c>
      <c r="AF248" s="149">
        <v>1252</v>
      </c>
      <c r="AG248" s="149">
        <v>0.874</v>
      </c>
      <c r="AH248" s="149">
        <v>26.1</v>
      </c>
      <c r="AI248" s="149">
        <v>15.1</v>
      </c>
      <c r="AJ248" s="149">
        <v>833</v>
      </c>
      <c r="AK248" s="148">
        <v>313</v>
      </c>
    </row>
    <row r="249" spans="1:37" ht="15.6">
      <c r="A249" s="150" t="s">
        <v>420</v>
      </c>
      <c r="B249" s="149">
        <v>779</v>
      </c>
      <c r="C249" s="149">
        <v>266.2</v>
      </c>
      <c r="D249" s="149">
        <v>16.5</v>
      </c>
      <c r="E249" s="149">
        <v>30</v>
      </c>
      <c r="F249" s="149">
        <v>20</v>
      </c>
      <c r="G249" s="149">
        <v>679</v>
      </c>
      <c r="H249" s="149">
        <v>279600</v>
      </c>
      <c r="I249" s="149">
        <v>9465</v>
      </c>
      <c r="J249" s="149">
        <v>7178</v>
      </c>
      <c r="K249" s="149">
        <v>711</v>
      </c>
      <c r="L249" s="149">
        <v>8236</v>
      </c>
      <c r="M249" s="149">
        <v>1116</v>
      </c>
      <c r="N249" s="148">
        <v>282</v>
      </c>
      <c r="O249" s="150" t="s">
        <v>420</v>
      </c>
      <c r="P249" s="149">
        <v>221.2</v>
      </c>
      <c r="Q249" s="149">
        <v>779</v>
      </c>
      <c r="R249" s="149">
        <v>266.2</v>
      </c>
      <c r="S249" s="149">
        <v>16.5</v>
      </c>
      <c r="T249" s="149">
        <v>30</v>
      </c>
      <c r="U249" s="149">
        <v>20</v>
      </c>
      <c r="V249" s="149">
        <v>679</v>
      </c>
      <c r="W249" s="149">
        <v>4.4400000000000004</v>
      </c>
      <c r="X249" s="149">
        <v>41.2</v>
      </c>
      <c r="Y249" s="149">
        <v>279600</v>
      </c>
      <c r="Z249" s="149">
        <v>9465</v>
      </c>
      <c r="AA249" s="149">
        <v>31.5</v>
      </c>
      <c r="AB249" s="149">
        <v>5.8</v>
      </c>
      <c r="AC249" s="149">
        <v>7178</v>
      </c>
      <c r="AD249" s="149">
        <v>711</v>
      </c>
      <c r="AE249" s="149">
        <v>8236</v>
      </c>
      <c r="AF249" s="149">
        <v>1116</v>
      </c>
      <c r="AG249" s="149">
        <v>0.876</v>
      </c>
      <c r="AH249" s="149">
        <v>28.6</v>
      </c>
      <c r="AI249" s="149">
        <v>13.3</v>
      </c>
      <c r="AJ249" s="149">
        <v>621</v>
      </c>
      <c r="AK249" s="148">
        <v>282</v>
      </c>
    </row>
    <row r="250" spans="1:37" ht="15.6">
      <c r="A250" s="150" t="s">
        <v>419</v>
      </c>
      <c r="B250" s="149">
        <v>769.9</v>
      </c>
      <c r="C250" s="149">
        <v>267.8</v>
      </c>
      <c r="D250" s="149">
        <v>15.6</v>
      </c>
      <c r="E250" s="149">
        <v>25.4</v>
      </c>
      <c r="F250" s="149">
        <v>20</v>
      </c>
      <c r="G250" s="149">
        <v>679.1</v>
      </c>
      <c r="H250" s="149">
        <v>241300</v>
      </c>
      <c r="I250" s="149">
        <v>8159</v>
      </c>
      <c r="J250" s="149">
        <v>6267</v>
      </c>
      <c r="K250" s="149">
        <v>609</v>
      </c>
      <c r="L250" s="149">
        <v>7203</v>
      </c>
      <c r="M250" s="149">
        <v>959</v>
      </c>
      <c r="N250" s="148">
        <v>252</v>
      </c>
      <c r="O250" s="150" t="s">
        <v>419</v>
      </c>
      <c r="P250" s="149">
        <v>197.5</v>
      </c>
      <c r="Q250" s="149">
        <v>769.9</v>
      </c>
      <c r="R250" s="149">
        <v>267.8</v>
      </c>
      <c r="S250" s="149">
        <v>15.6</v>
      </c>
      <c r="T250" s="149">
        <v>25.4</v>
      </c>
      <c r="U250" s="149">
        <v>20</v>
      </c>
      <c r="V250" s="149">
        <v>679.1</v>
      </c>
      <c r="W250" s="149">
        <v>5.27</v>
      </c>
      <c r="X250" s="149">
        <v>43.5</v>
      </c>
      <c r="Y250" s="149">
        <v>241300</v>
      </c>
      <c r="Z250" s="149">
        <v>8159</v>
      </c>
      <c r="AA250" s="149">
        <v>31</v>
      </c>
      <c r="AB250" s="149">
        <v>5.69</v>
      </c>
      <c r="AC250" s="149">
        <v>6267</v>
      </c>
      <c r="AD250" s="149">
        <v>609</v>
      </c>
      <c r="AE250" s="149">
        <v>7203</v>
      </c>
      <c r="AF250" s="149">
        <v>959</v>
      </c>
      <c r="AG250" s="149">
        <v>0.86899999999999999</v>
      </c>
      <c r="AH250" s="149">
        <v>32.799999999999997</v>
      </c>
      <c r="AI250" s="149">
        <v>11.3</v>
      </c>
      <c r="AJ250" s="149">
        <v>416</v>
      </c>
      <c r="AK250" s="148">
        <v>252</v>
      </c>
    </row>
    <row r="251" spans="1:37" ht="15.6">
      <c r="A251" s="150" t="s">
        <v>418</v>
      </c>
      <c r="B251" s="149">
        <v>766.3</v>
      </c>
      <c r="C251" s="149">
        <v>267.10000000000002</v>
      </c>
      <c r="D251" s="149">
        <v>14.9</v>
      </c>
      <c r="E251" s="149">
        <v>23.6</v>
      </c>
      <c r="F251" s="149">
        <v>20</v>
      </c>
      <c r="G251" s="149">
        <v>679.1</v>
      </c>
      <c r="H251" s="149">
        <v>224400</v>
      </c>
      <c r="I251" s="149">
        <v>7520</v>
      </c>
      <c r="J251" s="149">
        <v>5857</v>
      </c>
      <c r="K251" s="149">
        <v>563</v>
      </c>
      <c r="L251" s="149">
        <v>6730</v>
      </c>
      <c r="M251" s="149">
        <v>886</v>
      </c>
      <c r="N251" s="148">
        <v>237</v>
      </c>
      <c r="O251" s="150" t="s">
        <v>418</v>
      </c>
      <c r="P251" s="149">
        <v>185.8</v>
      </c>
      <c r="Q251" s="149">
        <v>766.3</v>
      </c>
      <c r="R251" s="149">
        <v>267.10000000000002</v>
      </c>
      <c r="S251" s="149">
        <v>14.9</v>
      </c>
      <c r="T251" s="149">
        <v>23.6</v>
      </c>
      <c r="U251" s="149">
        <v>20</v>
      </c>
      <c r="V251" s="149">
        <v>679.1</v>
      </c>
      <c r="W251" s="149">
        <v>5.66</v>
      </c>
      <c r="X251" s="149">
        <v>45.6</v>
      </c>
      <c r="Y251" s="149">
        <v>224400</v>
      </c>
      <c r="Z251" s="149">
        <v>7520</v>
      </c>
      <c r="AA251" s="149">
        <v>30.8</v>
      </c>
      <c r="AB251" s="149">
        <v>5.64</v>
      </c>
      <c r="AC251" s="149">
        <v>5857</v>
      </c>
      <c r="AD251" s="149">
        <v>563</v>
      </c>
      <c r="AE251" s="149">
        <v>6730</v>
      </c>
      <c r="AF251" s="149">
        <v>886</v>
      </c>
      <c r="AG251" s="149">
        <v>0.86799999999999999</v>
      </c>
      <c r="AH251" s="149">
        <v>34.9</v>
      </c>
      <c r="AI251" s="149">
        <v>10.4</v>
      </c>
      <c r="AJ251" s="149">
        <v>344</v>
      </c>
      <c r="AK251" s="148">
        <v>237</v>
      </c>
    </row>
    <row r="252" spans="1:37" ht="15.6">
      <c r="A252" s="150" t="s">
        <v>417</v>
      </c>
      <c r="B252" s="149">
        <v>762.3</v>
      </c>
      <c r="C252" s="149">
        <v>266.60000000000002</v>
      </c>
      <c r="D252" s="149">
        <v>14.4</v>
      </c>
      <c r="E252" s="149">
        <v>21.6</v>
      </c>
      <c r="F252" s="149">
        <v>20</v>
      </c>
      <c r="G252" s="149">
        <v>679.1</v>
      </c>
      <c r="H252" s="149">
        <v>207000</v>
      </c>
      <c r="I252" s="149">
        <v>6845</v>
      </c>
      <c r="J252" s="149">
        <v>5430</v>
      </c>
      <c r="K252" s="149">
        <v>513</v>
      </c>
      <c r="L252" s="149">
        <v>6249</v>
      </c>
      <c r="M252" s="149">
        <v>809</v>
      </c>
      <c r="N252" s="148">
        <v>222</v>
      </c>
      <c r="O252" s="150" t="s">
        <v>417</v>
      </c>
      <c r="P252" s="149">
        <v>174.4</v>
      </c>
      <c r="Q252" s="149">
        <v>762.3</v>
      </c>
      <c r="R252" s="149">
        <v>266.60000000000002</v>
      </c>
      <c r="S252" s="149">
        <v>14.4</v>
      </c>
      <c r="T252" s="149">
        <v>21.6</v>
      </c>
      <c r="U252" s="149">
        <v>20</v>
      </c>
      <c r="V252" s="149">
        <v>679.1</v>
      </c>
      <c r="W252" s="149">
        <v>6.17</v>
      </c>
      <c r="X252" s="149">
        <v>47.2</v>
      </c>
      <c r="Y252" s="149">
        <v>207000</v>
      </c>
      <c r="Z252" s="149">
        <v>6845</v>
      </c>
      <c r="AA252" s="149">
        <v>30.5</v>
      </c>
      <c r="AB252" s="149">
        <v>5.55</v>
      </c>
      <c r="AC252" s="149">
        <v>5430</v>
      </c>
      <c r="AD252" s="149">
        <v>513</v>
      </c>
      <c r="AE252" s="149">
        <v>6249</v>
      </c>
      <c r="AF252" s="149">
        <v>809</v>
      </c>
      <c r="AG252" s="149">
        <v>0.86399999999999999</v>
      </c>
      <c r="AH252" s="149">
        <v>37.4</v>
      </c>
      <c r="AI252" s="149">
        <v>9.39</v>
      </c>
      <c r="AJ252" s="149">
        <v>278</v>
      </c>
      <c r="AK252" s="148">
        <v>222</v>
      </c>
    </row>
    <row r="253" spans="1:37" ht="15.6">
      <c r="A253" s="150" t="s">
        <v>416</v>
      </c>
      <c r="B253" s="149">
        <v>757.7</v>
      </c>
      <c r="C253" s="149">
        <v>266.39999999999998</v>
      </c>
      <c r="D253" s="149">
        <v>13.8</v>
      </c>
      <c r="E253" s="149">
        <v>19.3</v>
      </c>
      <c r="F253" s="149">
        <v>20</v>
      </c>
      <c r="G253" s="149">
        <v>679.1</v>
      </c>
      <c r="H253" s="149">
        <v>187300</v>
      </c>
      <c r="I253" s="149">
        <v>6102</v>
      </c>
      <c r="J253" s="149">
        <v>4944</v>
      </c>
      <c r="K253" s="149">
        <v>458</v>
      </c>
      <c r="L253" s="149">
        <v>5702</v>
      </c>
      <c r="M253" s="149">
        <v>723</v>
      </c>
      <c r="N253" s="148">
        <v>205</v>
      </c>
      <c r="O253" s="150" t="s">
        <v>416</v>
      </c>
      <c r="P253" s="149">
        <v>161.30000000000001</v>
      </c>
      <c r="Q253" s="149">
        <v>757.7</v>
      </c>
      <c r="R253" s="149">
        <v>266.39999999999998</v>
      </c>
      <c r="S253" s="149">
        <v>13.8</v>
      </c>
      <c r="T253" s="149">
        <v>19.3</v>
      </c>
      <c r="U253" s="149">
        <v>20</v>
      </c>
      <c r="V253" s="149">
        <v>679.1</v>
      </c>
      <c r="W253" s="149">
        <v>6.9</v>
      </c>
      <c r="X253" s="149">
        <v>49.2</v>
      </c>
      <c r="Y253" s="149">
        <v>187300</v>
      </c>
      <c r="Z253" s="149">
        <v>6102</v>
      </c>
      <c r="AA253" s="149">
        <v>30.2</v>
      </c>
      <c r="AB253" s="149">
        <v>5.45</v>
      </c>
      <c r="AC253" s="149">
        <v>4944</v>
      </c>
      <c r="AD253" s="149">
        <v>458</v>
      </c>
      <c r="AE253" s="149">
        <v>5702</v>
      </c>
      <c r="AF253" s="149">
        <v>723</v>
      </c>
      <c r="AG253" s="149">
        <v>0.86</v>
      </c>
      <c r="AH253" s="149">
        <v>40.799999999999997</v>
      </c>
      <c r="AI253" s="149">
        <v>8.32</v>
      </c>
      <c r="AJ253" s="149">
        <v>215</v>
      </c>
      <c r="AK253" s="148">
        <v>205</v>
      </c>
    </row>
    <row r="254" spans="1:37" ht="15.6">
      <c r="A254" s="150" t="s">
        <v>415</v>
      </c>
      <c r="B254" s="149">
        <v>753.1</v>
      </c>
      <c r="C254" s="149">
        <v>265.3</v>
      </c>
      <c r="D254" s="149">
        <v>13.2</v>
      </c>
      <c r="E254" s="149">
        <v>17</v>
      </c>
      <c r="F254" s="149">
        <v>20</v>
      </c>
      <c r="G254" s="149">
        <v>679.1</v>
      </c>
      <c r="H254" s="149">
        <v>167400</v>
      </c>
      <c r="I254" s="149">
        <v>5309</v>
      </c>
      <c r="J254" s="149">
        <v>4447</v>
      </c>
      <c r="K254" s="149">
        <v>400</v>
      </c>
      <c r="L254" s="149">
        <v>5148</v>
      </c>
      <c r="M254" s="149">
        <v>633</v>
      </c>
      <c r="N254" s="148">
        <v>189</v>
      </c>
      <c r="O254" s="150" t="s">
        <v>415</v>
      </c>
      <c r="P254" s="149">
        <v>148</v>
      </c>
      <c r="Q254" s="149">
        <v>753.1</v>
      </c>
      <c r="R254" s="149">
        <v>265.3</v>
      </c>
      <c r="S254" s="149">
        <v>13.2</v>
      </c>
      <c r="T254" s="149">
        <v>17</v>
      </c>
      <c r="U254" s="149">
        <v>20</v>
      </c>
      <c r="V254" s="149">
        <v>679.1</v>
      </c>
      <c r="W254" s="149">
        <v>7.8</v>
      </c>
      <c r="X254" s="149">
        <v>51.4</v>
      </c>
      <c r="Y254" s="149">
        <v>167400</v>
      </c>
      <c r="Z254" s="149">
        <v>5309</v>
      </c>
      <c r="AA254" s="149">
        <v>29.8</v>
      </c>
      <c r="AB254" s="149">
        <v>5.31</v>
      </c>
      <c r="AC254" s="149">
        <v>4447</v>
      </c>
      <c r="AD254" s="149">
        <v>400</v>
      </c>
      <c r="AE254" s="149">
        <v>5148</v>
      </c>
      <c r="AF254" s="149">
        <v>633</v>
      </c>
      <c r="AG254" s="149">
        <v>0.85399999999999998</v>
      </c>
      <c r="AH254" s="149">
        <v>44.8</v>
      </c>
      <c r="AI254" s="149">
        <v>7.19</v>
      </c>
      <c r="AJ254" s="149">
        <v>163</v>
      </c>
      <c r="AK254" s="148">
        <v>189</v>
      </c>
    </row>
    <row r="255" spans="1:37" ht="15.6">
      <c r="A255" s="147" t="s">
        <v>414</v>
      </c>
      <c r="B255" s="146">
        <v>750</v>
      </c>
      <c r="C255" s="146">
        <v>264.2</v>
      </c>
      <c r="D255" s="146">
        <v>11.9</v>
      </c>
      <c r="E255" s="146">
        <v>15.5</v>
      </c>
      <c r="F255" s="146">
        <v>20</v>
      </c>
      <c r="G255" s="146">
        <v>679</v>
      </c>
      <c r="H255" s="146">
        <v>151700</v>
      </c>
      <c r="I255" s="146">
        <v>4778</v>
      </c>
      <c r="J255" s="146">
        <v>4044</v>
      </c>
      <c r="K255" s="146">
        <v>362</v>
      </c>
      <c r="L255" s="146">
        <v>4668</v>
      </c>
      <c r="M255" s="146">
        <v>570</v>
      </c>
      <c r="N255" s="145">
        <v>171</v>
      </c>
      <c r="O255" s="147" t="s">
        <v>414</v>
      </c>
      <c r="P255" s="146">
        <v>134.19999999999999</v>
      </c>
      <c r="Q255" s="146">
        <v>750</v>
      </c>
      <c r="R255" s="146">
        <v>264.2</v>
      </c>
      <c r="S255" s="146">
        <v>11.9</v>
      </c>
      <c r="T255" s="146">
        <v>15.5</v>
      </c>
      <c r="U255" s="146">
        <v>20</v>
      </c>
      <c r="V255" s="146">
        <v>679</v>
      </c>
      <c r="W255" s="146">
        <v>8.52</v>
      </c>
      <c r="X255" s="146">
        <v>57.1</v>
      </c>
      <c r="Y255" s="146">
        <v>151700</v>
      </c>
      <c r="Z255" s="146">
        <v>4778</v>
      </c>
      <c r="AA255" s="146">
        <v>29.8</v>
      </c>
      <c r="AB255" s="146">
        <v>5.29</v>
      </c>
      <c r="AC255" s="146">
        <v>4044</v>
      </c>
      <c r="AD255" s="146">
        <v>362</v>
      </c>
      <c r="AE255" s="146">
        <v>4668</v>
      </c>
      <c r="AF255" s="146">
        <v>570</v>
      </c>
      <c r="AG255" s="146">
        <v>0.85599999999999998</v>
      </c>
      <c r="AH255" s="146">
        <v>48.8</v>
      </c>
      <c r="AI255" s="146">
        <v>6.44</v>
      </c>
      <c r="AJ255" s="146">
        <v>124</v>
      </c>
      <c r="AK255" s="145">
        <v>171</v>
      </c>
    </row>
    <row r="256" spans="1:37">
      <c r="A256" s="150" t="s">
        <v>413</v>
      </c>
      <c r="B256" s="149">
        <v>762</v>
      </c>
      <c r="C256" s="149">
        <v>369</v>
      </c>
      <c r="D256" s="149">
        <v>32</v>
      </c>
      <c r="E256" s="149">
        <v>57.9</v>
      </c>
      <c r="F256" s="149">
        <v>20</v>
      </c>
      <c r="G256" s="149">
        <v>606.20000000000005</v>
      </c>
      <c r="H256" s="149">
        <v>606200</v>
      </c>
      <c r="I256" s="149">
        <v>48680</v>
      </c>
      <c r="J256" s="149">
        <v>15910</v>
      </c>
      <c r="K256" s="149">
        <v>2638</v>
      </c>
      <c r="L256" s="149">
        <v>18490</v>
      </c>
      <c r="M256" s="149">
        <v>4114</v>
      </c>
      <c r="N256" s="148">
        <v>638</v>
      </c>
      <c r="O256" s="150" t="s">
        <v>413</v>
      </c>
      <c r="P256" s="149">
        <v>500.5</v>
      </c>
      <c r="Q256" s="149">
        <v>762</v>
      </c>
      <c r="R256" s="149">
        <v>369</v>
      </c>
      <c r="S256" s="149">
        <v>32</v>
      </c>
      <c r="T256" s="149">
        <v>57.9</v>
      </c>
      <c r="U256" s="149">
        <v>20</v>
      </c>
      <c r="V256" s="149">
        <v>606.20000000000005</v>
      </c>
      <c r="W256" s="149">
        <v>3.19</v>
      </c>
      <c r="X256" s="149">
        <v>18.899999999999999</v>
      </c>
      <c r="Y256" s="149">
        <v>606200</v>
      </c>
      <c r="Z256" s="149">
        <v>48680</v>
      </c>
      <c r="AA256" s="149">
        <v>30.8</v>
      </c>
      <c r="AB256" s="149">
        <v>8.74</v>
      </c>
      <c r="AC256" s="149">
        <v>15910</v>
      </c>
      <c r="AD256" s="149">
        <v>2638</v>
      </c>
      <c r="AE256" s="149">
        <v>18490</v>
      </c>
      <c r="AF256" s="149">
        <v>4114</v>
      </c>
      <c r="AG256" s="149">
        <v>0.88900000000000001</v>
      </c>
      <c r="AH256" s="149">
        <v>13.6</v>
      </c>
      <c r="AI256" s="149">
        <v>60.3</v>
      </c>
      <c r="AJ256" s="149">
        <v>5459</v>
      </c>
      <c r="AK256" s="148">
        <v>638</v>
      </c>
    </row>
    <row r="257" spans="1:37">
      <c r="A257" s="150" t="s">
        <v>412</v>
      </c>
      <c r="B257" s="149">
        <v>752</v>
      </c>
      <c r="C257" s="149">
        <v>367</v>
      </c>
      <c r="D257" s="149">
        <v>29.5</v>
      </c>
      <c r="E257" s="149">
        <v>53.1</v>
      </c>
      <c r="F257" s="149">
        <v>20</v>
      </c>
      <c r="G257" s="149">
        <v>605.79999999999995</v>
      </c>
      <c r="H257" s="149">
        <v>546600</v>
      </c>
      <c r="I257" s="149">
        <v>43900</v>
      </c>
      <c r="J257" s="149">
        <v>14540</v>
      </c>
      <c r="K257" s="149">
        <v>2392</v>
      </c>
      <c r="L257" s="149">
        <v>16810</v>
      </c>
      <c r="M257" s="149">
        <v>3723</v>
      </c>
      <c r="N257" s="148">
        <v>584</v>
      </c>
      <c r="O257" s="150" t="s">
        <v>412</v>
      </c>
      <c r="P257" s="149">
        <v>458.2</v>
      </c>
      <c r="Q257" s="149">
        <v>752</v>
      </c>
      <c r="R257" s="149">
        <v>367</v>
      </c>
      <c r="S257" s="149">
        <v>29.5</v>
      </c>
      <c r="T257" s="149">
        <v>53.1</v>
      </c>
      <c r="U257" s="149">
        <v>20</v>
      </c>
      <c r="V257" s="149">
        <v>605.79999999999995</v>
      </c>
      <c r="W257" s="149">
        <v>3.46</v>
      </c>
      <c r="X257" s="149">
        <v>20.5</v>
      </c>
      <c r="Y257" s="149">
        <v>546600</v>
      </c>
      <c r="Z257" s="149">
        <v>43900</v>
      </c>
      <c r="AA257" s="149">
        <v>30.6</v>
      </c>
      <c r="AB257" s="149">
        <v>8.67</v>
      </c>
      <c r="AC257" s="149">
        <v>14540</v>
      </c>
      <c r="AD257" s="149">
        <v>2392</v>
      </c>
      <c r="AE257" s="149">
        <v>16810</v>
      </c>
      <c r="AF257" s="149">
        <v>3723</v>
      </c>
      <c r="AG257" s="149">
        <v>0.88900000000000001</v>
      </c>
      <c r="AH257" s="149">
        <v>14.7</v>
      </c>
      <c r="AI257" s="149">
        <v>53.6</v>
      </c>
      <c r="AJ257" s="149">
        <v>4229</v>
      </c>
      <c r="AK257" s="148">
        <v>584</v>
      </c>
    </row>
    <row r="258" spans="1:37">
      <c r="A258" s="150" t="s">
        <v>411</v>
      </c>
      <c r="B258" s="149">
        <v>744</v>
      </c>
      <c r="C258" s="149">
        <v>364</v>
      </c>
      <c r="D258" s="149">
        <v>26.9</v>
      </c>
      <c r="E258" s="149">
        <v>49</v>
      </c>
      <c r="F258" s="149">
        <v>20</v>
      </c>
      <c r="G258" s="149">
        <v>606</v>
      </c>
      <c r="H258" s="149">
        <v>495400</v>
      </c>
      <c r="I258" s="149">
        <v>39500</v>
      </c>
      <c r="J258" s="149">
        <v>13320</v>
      </c>
      <c r="K258" s="149">
        <v>2170</v>
      </c>
      <c r="L258" s="149">
        <v>15310</v>
      </c>
      <c r="M258" s="149">
        <v>3369</v>
      </c>
      <c r="N258" s="148">
        <v>534</v>
      </c>
      <c r="O258" s="150" t="s">
        <v>411</v>
      </c>
      <c r="P258" s="149">
        <v>419.1</v>
      </c>
      <c r="Q258" s="149">
        <v>744</v>
      </c>
      <c r="R258" s="149">
        <v>364</v>
      </c>
      <c r="S258" s="149">
        <v>26.9</v>
      </c>
      <c r="T258" s="149">
        <v>49</v>
      </c>
      <c r="U258" s="149">
        <v>20</v>
      </c>
      <c r="V258" s="149">
        <v>606</v>
      </c>
      <c r="W258" s="149">
        <v>3.71</v>
      </c>
      <c r="X258" s="149">
        <v>22.5</v>
      </c>
      <c r="Y258" s="149">
        <v>495400</v>
      </c>
      <c r="Z258" s="149">
        <v>39500</v>
      </c>
      <c r="AA258" s="149">
        <v>30.5</v>
      </c>
      <c r="AB258" s="149">
        <v>8.6</v>
      </c>
      <c r="AC258" s="149">
        <v>13320</v>
      </c>
      <c r="AD258" s="149">
        <v>2170</v>
      </c>
      <c r="AE258" s="149">
        <v>15310</v>
      </c>
      <c r="AF258" s="149">
        <v>3369</v>
      </c>
      <c r="AG258" s="149">
        <v>0.89</v>
      </c>
      <c r="AH258" s="149">
        <v>15.8</v>
      </c>
      <c r="AI258" s="149">
        <v>47.7</v>
      </c>
      <c r="AJ258" s="149">
        <v>3300</v>
      </c>
      <c r="AK258" s="148">
        <v>534</v>
      </c>
    </row>
    <row r="259" spans="1:37">
      <c r="A259" s="150" t="s">
        <v>410</v>
      </c>
      <c r="B259" s="149">
        <v>736</v>
      </c>
      <c r="C259" s="149">
        <v>362</v>
      </c>
      <c r="D259" s="149">
        <v>24.9</v>
      </c>
      <c r="E259" s="149">
        <v>45</v>
      </c>
      <c r="F259" s="149">
        <v>20</v>
      </c>
      <c r="G259" s="149">
        <v>606</v>
      </c>
      <c r="H259" s="149">
        <v>448900</v>
      </c>
      <c r="I259" s="149">
        <v>35670</v>
      </c>
      <c r="J259" s="149">
        <v>12200</v>
      </c>
      <c r="K259" s="149">
        <v>1971</v>
      </c>
      <c r="L259" s="149">
        <v>13960</v>
      </c>
      <c r="M259" s="149">
        <v>3054</v>
      </c>
      <c r="N259" s="148">
        <v>490</v>
      </c>
      <c r="O259" s="150" t="s">
        <v>410</v>
      </c>
      <c r="P259" s="149">
        <v>384.7</v>
      </c>
      <c r="Q259" s="149">
        <v>736</v>
      </c>
      <c r="R259" s="149">
        <v>362</v>
      </c>
      <c r="S259" s="149">
        <v>24.9</v>
      </c>
      <c r="T259" s="149">
        <v>45</v>
      </c>
      <c r="U259" s="149">
        <v>20</v>
      </c>
      <c r="V259" s="149">
        <v>606</v>
      </c>
      <c r="W259" s="149">
        <v>4.0199999999999996</v>
      </c>
      <c r="X259" s="149">
        <v>24.3</v>
      </c>
      <c r="Y259" s="149">
        <v>448900</v>
      </c>
      <c r="Z259" s="149">
        <v>35670</v>
      </c>
      <c r="AA259" s="149">
        <v>30.3</v>
      </c>
      <c r="AB259" s="149">
        <v>8.5299999999999994</v>
      </c>
      <c r="AC259" s="149">
        <v>12200</v>
      </c>
      <c r="AD259" s="149">
        <v>1971</v>
      </c>
      <c r="AE259" s="149">
        <v>13960</v>
      </c>
      <c r="AF259" s="149">
        <v>3054</v>
      </c>
      <c r="AG259" s="149">
        <v>0.89</v>
      </c>
      <c r="AH259" s="149">
        <v>17.100000000000001</v>
      </c>
      <c r="AI259" s="149">
        <v>42.6</v>
      </c>
      <c r="AJ259" s="149">
        <v>2569</v>
      </c>
      <c r="AK259" s="148">
        <v>490</v>
      </c>
    </row>
    <row r="260" spans="1:37">
      <c r="A260" s="150" t="s">
        <v>409</v>
      </c>
      <c r="B260" s="149">
        <v>728</v>
      </c>
      <c r="C260" s="149">
        <v>360</v>
      </c>
      <c r="D260" s="149">
        <v>23.1</v>
      </c>
      <c r="E260" s="149">
        <v>40.9</v>
      </c>
      <c r="F260" s="149">
        <v>20</v>
      </c>
      <c r="G260" s="149">
        <v>606.20000000000005</v>
      </c>
      <c r="H260" s="149">
        <v>403400</v>
      </c>
      <c r="I260" s="149">
        <v>31880</v>
      </c>
      <c r="J260" s="149">
        <v>11080</v>
      </c>
      <c r="K260" s="149">
        <v>1771</v>
      </c>
      <c r="L260" s="149">
        <v>12640</v>
      </c>
      <c r="M260" s="149">
        <v>2742</v>
      </c>
      <c r="N260" s="148">
        <v>447</v>
      </c>
      <c r="O260" s="150" t="s">
        <v>409</v>
      </c>
      <c r="P260" s="149">
        <v>351</v>
      </c>
      <c r="Q260" s="149">
        <v>728</v>
      </c>
      <c r="R260" s="149">
        <v>360</v>
      </c>
      <c r="S260" s="149">
        <v>23.1</v>
      </c>
      <c r="T260" s="149">
        <v>40.9</v>
      </c>
      <c r="U260" s="149">
        <v>20</v>
      </c>
      <c r="V260" s="149">
        <v>606.20000000000005</v>
      </c>
      <c r="W260" s="149">
        <v>4.4000000000000004</v>
      </c>
      <c r="X260" s="149">
        <v>26.2</v>
      </c>
      <c r="Y260" s="149">
        <v>403400</v>
      </c>
      <c r="Z260" s="149">
        <v>31880</v>
      </c>
      <c r="AA260" s="149">
        <v>30</v>
      </c>
      <c r="AB260" s="149">
        <v>8.44</v>
      </c>
      <c r="AC260" s="149">
        <v>11080</v>
      </c>
      <c r="AD260" s="149">
        <v>1771</v>
      </c>
      <c r="AE260" s="149">
        <v>12640</v>
      </c>
      <c r="AF260" s="149">
        <v>2742</v>
      </c>
      <c r="AG260" s="149">
        <v>0.88900000000000001</v>
      </c>
      <c r="AH260" s="149">
        <v>18.600000000000001</v>
      </c>
      <c r="AI260" s="149">
        <v>37.6</v>
      </c>
      <c r="AJ260" s="149">
        <v>1953</v>
      </c>
      <c r="AK260" s="148">
        <v>447</v>
      </c>
    </row>
    <row r="261" spans="1:37">
      <c r="A261" s="150" t="s">
        <v>408</v>
      </c>
      <c r="B261" s="149">
        <v>722</v>
      </c>
      <c r="C261" s="149">
        <v>359</v>
      </c>
      <c r="D261" s="149">
        <v>21.1</v>
      </c>
      <c r="E261" s="149">
        <v>38.1</v>
      </c>
      <c r="F261" s="149">
        <v>20</v>
      </c>
      <c r="G261" s="149">
        <v>605.79999999999995</v>
      </c>
      <c r="H261" s="149">
        <v>371000</v>
      </c>
      <c r="I261" s="149">
        <v>29440</v>
      </c>
      <c r="J261" s="149">
        <v>10280</v>
      </c>
      <c r="K261" s="149">
        <v>1640</v>
      </c>
      <c r="L261" s="149">
        <v>11660</v>
      </c>
      <c r="M261" s="149">
        <v>2532</v>
      </c>
      <c r="N261" s="148">
        <v>413</v>
      </c>
      <c r="O261" s="150" t="s">
        <v>408</v>
      </c>
      <c r="P261" s="149">
        <v>324.39999999999998</v>
      </c>
      <c r="Q261" s="149">
        <v>722</v>
      </c>
      <c r="R261" s="149">
        <v>359</v>
      </c>
      <c r="S261" s="149">
        <v>21.1</v>
      </c>
      <c r="T261" s="149">
        <v>38.1</v>
      </c>
      <c r="U261" s="149">
        <v>20</v>
      </c>
      <c r="V261" s="149">
        <v>605.79999999999995</v>
      </c>
      <c r="W261" s="149">
        <v>4.71</v>
      </c>
      <c r="X261" s="149">
        <v>28.7</v>
      </c>
      <c r="Y261" s="149">
        <v>371000</v>
      </c>
      <c r="Z261" s="149">
        <v>29440</v>
      </c>
      <c r="AA261" s="149">
        <v>30</v>
      </c>
      <c r="AB261" s="149">
        <v>8.44</v>
      </c>
      <c r="AC261" s="149">
        <v>10280</v>
      </c>
      <c r="AD261" s="149">
        <v>1640</v>
      </c>
      <c r="AE261" s="149">
        <v>11660</v>
      </c>
      <c r="AF261" s="149">
        <v>2532</v>
      </c>
      <c r="AG261" s="149">
        <v>0.89</v>
      </c>
      <c r="AH261" s="149">
        <v>19.899999999999999</v>
      </c>
      <c r="AI261" s="149">
        <v>34.4</v>
      </c>
      <c r="AJ261" s="149">
        <v>1568</v>
      </c>
      <c r="AK261" s="148">
        <v>413</v>
      </c>
    </row>
    <row r="262" spans="1:37">
      <c r="A262" s="150" t="s">
        <v>407</v>
      </c>
      <c r="B262" s="149">
        <v>714</v>
      </c>
      <c r="C262" s="149">
        <v>356</v>
      </c>
      <c r="D262" s="149">
        <v>19</v>
      </c>
      <c r="E262" s="149">
        <v>34</v>
      </c>
      <c r="F262" s="149">
        <v>20</v>
      </c>
      <c r="G262" s="149">
        <v>606</v>
      </c>
      <c r="H262" s="149">
        <v>326200</v>
      </c>
      <c r="I262" s="149">
        <v>25610</v>
      </c>
      <c r="J262" s="149">
        <v>9139</v>
      </c>
      <c r="K262" s="149">
        <v>1439</v>
      </c>
      <c r="L262" s="149">
        <v>10320</v>
      </c>
      <c r="M262" s="149">
        <v>2218</v>
      </c>
      <c r="N262" s="148">
        <v>368</v>
      </c>
      <c r="O262" s="150" t="s">
        <v>407</v>
      </c>
      <c r="P262" s="149">
        <v>289.10000000000002</v>
      </c>
      <c r="Q262" s="149">
        <v>714</v>
      </c>
      <c r="R262" s="149">
        <v>356</v>
      </c>
      <c r="S262" s="149">
        <v>19</v>
      </c>
      <c r="T262" s="149">
        <v>34</v>
      </c>
      <c r="U262" s="149">
        <v>20</v>
      </c>
      <c r="V262" s="149">
        <v>606</v>
      </c>
      <c r="W262" s="149">
        <v>5.24</v>
      </c>
      <c r="X262" s="149">
        <v>31.9</v>
      </c>
      <c r="Y262" s="149">
        <v>326200</v>
      </c>
      <c r="Z262" s="149">
        <v>25610</v>
      </c>
      <c r="AA262" s="149">
        <v>29.8</v>
      </c>
      <c r="AB262" s="149">
        <v>8.34</v>
      </c>
      <c r="AC262" s="149">
        <v>9139</v>
      </c>
      <c r="AD262" s="149">
        <v>1439</v>
      </c>
      <c r="AE262" s="149">
        <v>10320</v>
      </c>
      <c r="AF262" s="149">
        <v>2218</v>
      </c>
      <c r="AG262" s="149">
        <v>0.89</v>
      </c>
      <c r="AH262" s="149">
        <v>22.1</v>
      </c>
      <c r="AI262" s="149">
        <v>29.6</v>
      </c>
      <c r="AJ262" s="149">
        <v>1121</v>
      </c>
      <c r="AK262" s="148">
        <v>368</v>
      </c>
    </row>
    <row r="263" spans="1:37">
      <c r="A263" s="150" t="s">
        <v>406</v>
      </c>
      <c r="B263" s="149">
        <v>706.4</v>
      </c>
      <c r="C263" s="149">
        <v>357.8</v>
      </c>
      <c r="D263" s="149">
        <v>18.399999999999999</v>
      </c>
      <c r="E263" s="149">
        <v>30.2</v>
      </c>
      <c r="F263" s="149">
        <v>20</v>
      </c>
      <c r="G263" s="149">
        <v>606</v>
      </c>
      <c r="H263" s="149">
        <v>292000</v>
      </c>
      <c r="I263" s="149">
        <v>23100</v>
      </c>
      <c r="J263" s="149">
        <v>8268</v>
      </c>
      <c r="K263" s="149">
        <v>1291</v>
      </c>
      <c r="L263" s="149">
        <v>9336</v>
      </c>
      <c r="M263" s="149">
        <v>1992</v>
      </c>
      <c r="N263" s="148">
        <v>338</v>
      </c>
      <c r="O263" s="150" t="s">
        <v>406</v>
      </c>
      <c r="P263" s="149">
        <v>265.7</v>
      </c>
      <c r="Q263" s="149">
        <v>706.4</v>
      </c>
      <c r="R263" s="149">
        <v>357.8</v>
      </c>
      <c r="S263" s="149">
        <v>18.399999999999999</v>
      </c>
      <c r="T263" s="149">
        <v>30.2</v>
      </c>
      <c r="U263" s="149">
        <v>20</v>
      </c>
      <c r="V263" s="149">
        <v>606</v>
      </c>
      <c r="W263" s="149">
        <v>5.92</v>
      </c>
      <c r="X263" s="149">
        <v>32.9</v>
      </c>
      <c r="Y263" s="149">
        <v>292000</v>
      </c>
      <c r="Z263" s="149">
        <v>23100</v>
      </c>
      <c r="AA263" s="149">
        <v>29.4</v>
      </c>
      <c r="AB263" s="149">
        <v>8.26</v>
      </c>
      <c r="AC263" s="149">
        <v>8268</v>
      </c>
      <c r="AD263" s="149">
        <v>1291</v>
      </c>
      <c r="AE263" s="149">
        <v>9336</v>
      </c>
      <c r="AF263" s="149">
        <v>1992</v>
      </c>
      <c r="AG263" s="149">
        <v>0.88500000000000001</v>
      </c>
      <c r="AH263" s="149">
        <v>24.4</v>
      </c>
      <c r="AI263" s="149">
        <v>26.4</v>
      </c>
      <c r="AJ263" s="149">
        <v>834</v>
      </c>
      <c r="AK263" s="148">
        <v>338</v>
      </c>
    </row>
    <row r="264" spans="1:37">
      <c r="A264" s="150" t="s">
        <v>405</v>
      </c>
      <c r="B264" s="149">
        <v>700.8</v>
      </c>
      <c r="C264" s="149">
        <v>356.1</v>
      </c>
      <c r="D264" s="149">
        <v>16.8</v>
      </c>
      <c r="E264" s="149">
        <v>27.4</v>
      </c>
      <c r="F264" s="149">
        <v>20</v>
      </c>
      <c r="G264" s="149">
        <v>606</v>
      </c>
      <c r="H264" s="149">
        <v>262600</v>
      </c>
      <c r="I264" s="149">
        <v>20650</v>
      </c>
      <c r="J264" s="149">
        <v>7494</v>
      </c>
      <c r="K264" s="149">
        <v>1160</v>
      </c>
      <c r="L264" s="149">
        <v>8433</v>
      </c>
      <c r="M264" s="149">
        <v>1787</v>
      </c>
      <c r="N264" s="148">
        <v>307</v>
      </c>
      <c r="O264" s="150" t="s">
        <v>405</v>
      </c>
      <c r="P264" s="149">
        <v>241.1</v>
      </c>
      <c r="Q264" s="149">
        <v>700.8</v>
      </c>
      <c r="R264" s="149">
        <v>356.1</v>
      </c>
      <c r="S264" s="149">
        <v>16.8</v>
      </c>
      <c r="T264" s="149">
        <v>27.4</v>
      </c>
      <c r="U264" s="149">
        <v>20</v>
      </c>
      <c r="V264" s="149">
        <v>606</v>
      </c>
      <c r="W264" s="149">
        <v>6.5</v>
      </c>
      <c r="X264" s="149">
        <v>36.1</v>
      </c>
      <c r="Y264" s="149">
        <v>262600</v>
      </c>
      <c r="Z264" s="149">
        <v>20650</v>
      </c>
      <c r="AA264" s="149">
        <v>29.2</v>
      </c>
      <c r="AB264" s="149">
        <v>8.1999999999999993</v>
      </c>
      <c r="AC264" s="149">
        <v>7494</v>
      </c>
      <c r="AD264" s="149">
        <v>1160</v>
      </c>
      <c r="AE264" s="149">
        <v>8433</v>
      </c>
      <c r="AF264" s="149">
        <v>1787</v>
      </c>
      <c r="AG264" s="149">
        <v>0.88500000000000001</v>
      </c>
      <c r="AH264" s="149">
        <v>26.7</v>
      </c>
      <c r="AI264" s="149">
        <v>23.4</v>
      </c>
      <c r="AJ264" s="149">
        <v>627</v>
      </c>
      <c r="AK264" s="148">
        <v>307</v>
      </c>
    </row>
    <row r="265" spans="1:37">
      <c r="A265" s="150" t="s">
        <v>404</v>
      </c>
      <c r="B265" s="149">
        <v>695.4</v>
      </c>
      <c r="C265" s="149">
        <v>354.7</v>
      </c>
      <c r="D265" s="149">
        <v>15.4</v>
      </c>
      <c r="E265" s="149">
        <v>24.8</v>
      </c>
      <c r="F265" s="149">
        <v>20</v>
      </c>
      <c r="G265" s="149">
        <v>605.79999999999995</v>
      </c>
      <c r="H265" s="149">
        <v>235900</v>
      </c>
      <c r="I265" s="149">
        <v>18470</v>
      </c>
      <c r="J265" s="149">
        <v>6785</v>
      </c>
      <c r="K265" s="149">
        <v>1041</v>
      </c>
      <c r="L265" s="149">
        <v>7614</v>
      </c>
      <c r="M265" s="149">
        <v>1603</v>
      </c>
      <c r="N265" s="148">
        <v>279</v>
      </c>
      <c r="O265" s="150" t="s">
        <v>404</v>
      </c>
      <c r="P265" s="149">
        <v>218.9</v>
      </c>
      <c r="Q265" s="149">
        <v>695.4</v>
      </c>
      <c r="R265" s="149">
        <v>354.7</v>
      </c>
      <c r="S265" s="149">
        <v>15.4</v>
      </c>
      <c r="T265" s="149">
        <v>24.8</v>
      </c>
      <c r="U265" s="149">
        <v>20</v>
      </c>
      <c r="V265" s="149">
        <v>605.79999999999995</v>
      </c>
      <c r="W265" s="149">
        <v>7.15</v>
      </c>
      <c r="X265" s="149">
        <v>39.299999999999997</v>
      </c>
      <c r="Y265" s="149">
        <v>235900</v>
      </c>
      <c r="Z265" s="149">
        <v>18470</v>
      </c>
      <c r="AA265" s="149">
        <v>29.1</v>
      </c>
      <c r="AB265" s="149">
        <v>8.14</v>
      </c>
      <c r="AC265" s="149">
        <v>6785</v>
      </c>
      <c r="AD265" s="149">
        <v>1041</v>
      </c>
      <c r="AE265" s="149">
        <v>7614</v>
      </c>
      <c r="AF265" s="149">
        <v>1603</v>
      </c>
      <c r="AG265" s="149">
        <v>0.88400000000000001</v>
      </c>
      <c r="AH265" s="149">
        <v>29.2</v>
      </c>
      <c r="AI265" s="149">
        <v>20.8</v>
      </c>
      <c r="AJ265" s="149">
        <v>471</v>
      </c>
      <c r="AK265" s="148">
        <v>279</v>
      </c>
    </row>
    <row r="266" spans="1:37">
      <c r="A266" s="150" t="s">
        <v>403</v>
      </c>
      <c r="B266" s="149">
        <v>771.9</v>
      </c>
      <c r="C266" s="149">
        <v>273.8</v>
      </c>
      <c r="D266" s="149">
        <v>35.1</v>
      </c>
      <c r="E266" s="149">
        <v>63</v>
      </c>
      <c r="F266" s="149">
        <v>20</v>
      </c>
      <c r="G266" s="149">
        <v>605.9</v>
      </c>
      <c r="H266" s="149">
        <v>516900</v>
      </c>
      <c r="I266" s="149">
        <v>21800</v>
      </c>
      <c r="J266" s="149">
        <v>13390</v>
      </c>
      <c r="K266" s="149">
        <v>1593</v>
      </c>
      <c r="L266" s="149">
        <v>16000</v>
      </c>
      <c r="M266" s="149">
        <v>2568</v>
      </c>
      <c r="N266" s="148">
        <v>575</v>
      </c>
      <c r="O266" s="150" t="s">
        <v>403</v>
      </c>
      <c r="P266" s="149">
        <v>451.5</v>
      </c>
      <c r="Q266" s="149">
        <v>771.9</v>
      </c>
      <c r="R266" s="149">
        <v>273.8</v>
      </c>
      <c r="S266" s="149">
        <v>35.1</v>
      </c>
      <c r="T266" s="149">
        <v>63</v>
      </c>
      <c r="U266" s="149">
        <v>20</v>
      </c>
      <c r="V266" s="149">
        <v>605.9</v>
      </c>
      <c r="W266" s="149">
        <v>2.17</v>
      </c>
      <c r="X266" s="149">
        <v>17.3</v>
      </c>
      <c r="Y266" s="149">
        <v>516900</v>
      </c>
      <c r="Z266" s="149">
        <v>21800</v>
      </c>
      <c r="AA266" s="149">
        <v>30</v>
      </c>
      <c r="AB266" s="149">
        <v>6.16</v>
      </c>
      <c r="AC266" s="149">
        <v>13390</v>
      </c>
      <c r="AD266" s="149">
        <v>1593</v>
      </c>
      <c r="AE266" s="149">
        <v>16000</v>
      </c>
      <c r="AF266" s="149">
        <v>2568</v>
      </c>
      <c r="AG266" s="149">
        <v>0.876</v>
      </c>
      <c r="AH266" s="149">
        <v>13.1</v>
      </c>
      <c r="AI266" s="149">
        <v>27.4</v>
      </c>
      <c r="AJ266" s="149">
        <v>5429</v>
      </c>
      <c r="AK266" s="148">
        <v>575</v>
      </c>
    </row>
    <row r="267" spans="1:37">
      <c r="A267" s="150" t="s">
        <v>402</v>
      </c>
      <c r="B267" s="149">
        <v>760</v>
      </c>
      <c r="C267" s="149">
        <v>270.3</v>
      </c>
      <c r="D267" s="149">
        <v>31.5</v>
      </c>
      <c r="E267" s="149">
        <v>56.9</v>
      </c>
      <c r="F267" s="149">
        <v>20</v>
      </c>
      <c r="G267" s="149">
        <v>606.20000000000005</v>
      </c>
      <c r="H267" s="149">
        <v>455300</v>
      </c>
      <c r="I267" s="149">
        <v>18910</v>
      </c>
      <c r="J267" s="149">
        <v>11980</v>
      </c>
      <c r="K267" s="149">
        <v>1399</v>
      </c>
      <c r="L267" s="149">
        <v>14210</v>
      </c>
      <c r="M267" s="149">
        <v>2246</v>
      </c>
      <c r="N267" s="148">
        <v>515</v>
      </c>
      <c r="O267" s="150" t="s">
        <v>402</v>
      </c>
      <c r="P267" s="149">
        <v>404</v>
      </c>
      <c r="Q267" s="149">
        <v>760</v>
      </c>
      <c r="R267" s="149">
        <v>270.3</v>
      </c>
      <c r="S267" s="149">
        <v>31.5</v>
      </c>
      <c r="T267" s="149">
        <v>56.9</v>
      </c>
      <c r="U267" s="149">
        <v>20</v>
      </c>
      <c r="V267" s="149">
        <v>606.20000000000005</v>
      </c>
      <c r="W267" s="149">
        <v>2.38</v>
      </c>
      <c r="X267" s="149">
        <v>19.2</v>
      </c>
      <c r="Y267" s="149">
        <v>455300</v>
      </c>
      <c r="Z267" s="149">
        <v>18910</v>
      </c>
      <c r="AA267" s="149">
        <v>29.7</v>
      </c>
      <c r="AB267" s="149">
        <v>6.06</v>
      </c>
      <c r="AC267" s="149">
        <v>11980</v>
      </c>
      <c r="AD267" s="149">
        <v>1399</v>
      </c>
      <c r="AE267" s="149">
        <v>14210</v>
      </c>
      <c r="AF267" s="149">
        <v>2246</v>
      </c>
      <c r="AG267" s="149">
        <v>0.877</v>
      </c>
      <c r="AH267" s="149">
        <v>14.3</v>
      </c>
      <c r="AI267" s="149">
        <v>23.4</v>
      </c>
      <c r="AJ267" s="149">
        <v>3980</v>
      </c>
      <c r="AK267" s="148">
        <v>515</v>
      </c>
    </row>
    <row r="268" spans="1:37">
      <c r="A268" s="150" t="s">
        <v>401</v>
      </c>
      <c r="B268" s="149">
        <v>749.8</v>
      </c>
      <c r="C268" s="149">
        <v>267.7</v>
      </c>
      <c r="D268" s="149">
        <v>28.9</v>
      </c>
      <c r="E268" s="149">
        <v>52.1</v>
      </c>
      <c r="F268" s="149">
        <v>20</v>
      </c>
      <c r="G268" s="149">
        <v>605.6</v>
      </c>
      <c r="H268" s="149">
        <v>408400</v>
      </c>
      <c r="I268" s="149">
        <v>16800</v>
      </c>
      <c r="J268" s="149">
        <v>10890</v>
      </c>
      <c r="K268" s="149">
        <v>1255</v>
      </c>
      <c r="L268" s="149">
        <v>12850</v>
      </c>
      <c r="M268" s="149">
        <v>2008</v>
      </c>
      <c r="N268" s="148">
        <v>469</v>
      </c>
      <c r="O268" s="150" t="s">
        <v>401</v>
      </c>
      <c r="P268" s="149">
        <v>368.1</v>
      </c>
      <c r="Q268" s="149">
        <v>749.8</v>
      </c>
      <c r="R268" s="149">
        <v>267.7</v>
      </c>
      <c r="S268" s="149">
        <v>28.9</v>
      </c>
      <c r="T268" s="149">
        <v>52.1</v>
      </c>
      <c r="U268" s="149">
        <v>20</v>
      </c>
      <c r="V268" s="149">
        <v>605.6</v>
      </c>
      <c r="W268" s="149">
        <v>2.57</v>
      </c>
      <c r="X268" s="149">
        <v>21</v>
      </c>
      <c r="Y268" s="149">
        <v>408400</v>
      </c>
      <c r="Z268" s="149">
        <v>16800</v>
      </c>
      <c r="AA268" s="149">
        <v>29.5</v>
      </c>
      <c r="AB268" s="149">
        <v>5.99</v>
      </c>
      <c r="AC268" s="149">
        <v>10890</v>
      </c>
      <c r="AD268" s="149">
        <v>1255</v>
      </c>
      <c r="AE268" s="149">
        <v>12850</v>
      </c>
      <c r="AF268" s="149">
        <v>2008</v>
      </c>
      <c r="AG268" s="149">
        <v>0.877</v>
      </c>
      <c r="AH268" s="149">
        <v>15.5</v>
      </c>
      <c r="AI268" s="149">
        <v>20.399999999999999</v>
      </c>
      <c r="AJ268" s="149">
        <v>3060</v>
      </c>
      <c r="AK268" s="148">
        <v>469</v>
      </c>
    </row>
    <row r="269" spans="1:37">
      <c r="A269" s="150" t="s">
        <v>400</v>
      </c>
      <c r="B269" s="149">
        <v>739.9</v>
      </c>
      <c r="C269" s="149">
        <v>264.8</v>
      </c>
      <c r="D269" s="149">
        <v>25.9</v>
      </c>
      <c r="E269" s="149">
        <v>47</v>
      </c>
      <c r="F269" s="149">
        <v>20</v>
      </c>
      <c r="G269" s="149">
        <v>605.9</v>
      </c>
      <c r="H269" s="149">
        <v>360900</v>
      </c>
      <c r="I269" s="149">
        <v>14650</v>
      </c>
      <c r="J269" s="149">
        <v>9754</v>
      </c>
      <c r="K269" s="149">
        <v>1106</v>
      </c>
      <c r="L269" s="149">
        <v>11430</v>
      </c>
      <c r="M269" s="149">
        <v>1762</v>
      </c>
      <c r="N269" s="148">
        <v>420</v>
      </c>
      <c r="O269" s="150" t="s">
        <v>400</v>
      </c>
      <c r="P269" s="149">
        <v>329.4</v>
      </c>
      <c r="Q269" s="149">
        <v>739.9</v>
      </c>
      <c r="R269" s="149">
        <v>264.8</v>
      </c>
      <c r="S269" s="149">
        <v>25.9</v>
      </c>
      <c r="T269" s="149">
        <v>47</v>
      </c>
      <c r="U269" s="149">
        <v>20</v>
      </c>
      <c r="V269" s="149">
        <v>605.9</v>
      </c>
      <c r="W269" s="149">
        <v>2.82</v>
      </c>
      <c r="X269" s="149">
        <v>23.4</v>
      </c>
      <c r="Y269" s="149">
        <v>360900</v>
      </c>
      <c r="Z269" s="149">
        <v>14650</v>
      </c>
      <c r="AA269" s="149">
        <v>29.3</v>
      </c>
      <c r="AB269" s="149">
        <v>5.91</v>
      </c>
      <c r="AC269" s="149">
        <v>9754</v>
      </c>
      <c r="AD269" s="149">
        <v>1106</v>
      </c>
      <c r="AE269" s="149">
        <v>11430</v>
      </c>
      <c r="AF269" s="149">
        <v>1762</v>
      </c>
      <c r="AG269" s="149">
        <v>0.878</v>
      </c>
      <c r="AH269" s="149">
        <v>17</v>
      </c>
      <c r="AI269" s="149">
        <v>17.600000000000001</v>
      </c>
      <c r="AJ269" s="149">
        <v>2239</v>
      </c>
      <c r="AK269" s="148">
        <v>420</v>
      </c>
    </row>
    <row r="270" spans="1:37">
      <c r="A270" s="150" t="s">
        <v>399</v>
      </c>
      <c r="B270" s="149">
        <v>732</v>
      </c>
      <c r="C270" s="149">
        <v>262.8</v>
      </c>
      <c r="D270" s="149">
        <v>23.9</v>
      </c>
      <c r="E270" s="149">
        <v>42.9</v>
      </c>
      <c r="F270" s="149">
        <v>20</v>
      </c>
      <c r="G270" s="149">
        <v>606.20000000000005</v>
      </c>
      <c r="H270" s="149">
        <v>325300</v>
      </c>
      <c r="I270" s="149">
        <v>13060</v>
      </c>
      <c r="J270" s="149">
        <v>8887</v>
      </c>
      <c r="K270" s="149">
        <v>994</v>
      </c>
      <c r="L270" s="149">
        <v>10370</v>
      </c>
      <c r="M270" s="149">
        <v>1579</v>
      </c>
      <c r="N270" s="148">
        <v>383</v>
      </c>
      <c r="O270" s="150" t="s">
        <v>399</v>
      </c>
      <c r="P270" s="149">
        <v>300.89999999999998</v>
      </c>
      <c r="Q270" s="149">
        <v>732</v>
      </c>
      <c r="R270" s="149">
        <v>262.8</v>
      </c>
      <c r="S270" s="149">
        <v>23.9</v>
      </c>
      <c r="T270" s="149">
        <v>42.9</v>
      </c>
      <c r="U270" s="149">
        <v>20</v>
      </c>
      <c r="V270" s="149">
        <v>606.20000000000005</v>
      </c>
      <c r="W270" s="149">
        <v>3.06</v>
      </c>
      <c r="X270" s="149">
        <v>25.4</v>
      </c>
      <c r="Y270" s="149">
        <v>325300</v>
      </c>
      <c r="Z270" s="149">
        <v>13060</v>
      </c>
      <c r="AA270" s="149">
        <v>29.1</v>
      </c>
      <c r="AB270" s="149">
        <v>5.84</v>
      </c>
      <c r="AC270" s="149">
        <v>8887</v>
      </c>
      <c r="AD270" s="149">
        <v>994</v>
      </c>
      <c r="AE270" s="149">
        <v>10370</v>
      </c>
      <c r="AF270" s="149">
        <v>1579</v>
      </c>
      <c r="AG270" s="149">
        <v>0.877</v>
      </c>
      <c r="AH270" s="149">
        <v>18.399999999999999</v>
      </c>
      <c r="AI270" s="149">
        <v>15.5</v>
      </c>
      <c r="AJ270" s="149">
        <v>1719</v>
      </c>
      <c r="AK270" s="148">
        <v>383</v>
      </c>
    </row>
    <row r="271" spans="1:37">
      <c r="A271" s="150" t="s">
        <v>398</v>
      </c>
      <c r="B271" s="149">
        <v>723.9</v>
      </c>
      <c r="C271" s="149">
        <v>260.2</v>
      </c>
      <c r="D271" s="149">
        <v>21.6</v>
      </c>
      <c r="E271" s="149">
        <v>39.1</v>
      </c>
      <c r="F271" s="149">
        <v>20</v>
      </c>
      <c r="G271" s="149">
        <v>605.70000000000005</v>
      </c>
      <c r="H271" s="149">
        <v>290700</v>
      </c>
      <c r="I271" s="149">
        <v>11540</v>
      </c>
      <c r="J271" s="149">
        <v>8033</v>
      </c>
      <c r="K271" s="149">
        <v>887</v>
      </c>
      <c r="L271" s="149">
        <v>9328</v>
      </c>
      <c r="M271" s="149">
        <v>1404</v>
      </c>
      <c r="N271" s="148">
        <v>346</v>
      </c>
      <c r="O271" s="150" t="s">
        <v>398</v>
      </c>
      <c r="P271" s="149">
        <v>271.89999999999998</v>
      </c>
      <c r="Q271" s="149">
        <v>723.9</v>
      </c>
      <c r="R271" s="149">
        <v>260.2</v>
      </c>
      <c r="S271" s="149">
        <v>21.6</v>
      </c>
      <c r="T271" s="149">
        <v>39.1</v>
      </c>
      <c r="U271" s="149">
        <v>20</v>
      </c>
      <c r="V271" s="149">
        <v>605.70000000000005</v>
      </c>
      <c r="W271" s="149">
        <v>3.33</v>
      </c>
      <c r="X271" s="149">
        <v>28</v>
      </c>
      <c r="Y271" s="149">
        <v>290700</v>
      </c>
      <c r="Z271" s="149">
        <v>11540</v>
      </c>
      <c r="AA271" s="149">
        <v>29</v>
      </c>
      <c r="AB271" s="149">
        <v>5.77</v>
      </c>
      <c r="AC271" s="149">
        <v>8033</v>
      </c>
      <c r="AD271" s="149">
        <v>887</v>
      </c>
      <c r="AE271" s="149">
        <v>9328</v>
      </c>
      <c r="AF271" s="149">
        <v>1404</v>
      </c>
      <c r="AG271" s="149">
        <v>0.878</v>
      </c>
      <c r="AH271" s="149">
        <v>20</v>
      </c>
      <c r="AI271" s="149">
        <v>13.5</v>
      </c>
      <c r="AJ271" s="149">
        <v>1295</v>
      </c>
      <c r="AK271" s="148">
        <v>346</v>
      </c>
    </row>
    <row r="272" spans="1:37">
      <c r="A272" s="150" t="s">
        <v>397</v>
      </c>
      <c r="B272" s="149">
        <v>714</v>
      </c>
      <c r="C272" s="149">
        <v>257.8</v>
      </c>
      <c r="D272" s="149">
        <v>19.100000000000001</v>
      </c>
      <c r="E272" s="149">
        <v>34</v>
      </c>
      <c r="F272" s="149">
        <v>20</v>
      </c>
      <c r="G272" s="149">
        <v>606</v>
      </c>
      <c r="H272" s="149">
        <v>249200</v>
      </c>
      <c r="I272" s="149">
        <v>9754</v>
      </c>
      <c r="J272" s="149">
        <v>6981</v>
      </c>
      <c r="K272" s="149">
        <v>757</v>
      </c>
      <c r="L272" s="149">
        <v>8062</v>
      </c>
      <c r="M272" s="149">
        <v>1194</v>
      </c>
      <c r="N272" s="148">
        <v>302</v>
      </c>
      <c r="O272" s="150" t="s">
        <v>397</v>
      </c>
      <c r="P272" s="149">
        <v>237.2</v>
      </c>
      <c r="Q272" s="149">
        <v>714</v>
      </c>
      <c r="R272" s="149">
        <v>257.8</v>
      </c>
      <c r="S272" s="149">
        <v>19.100000000000001</v>
      </c>
      <c r="T272" s="149">
        <v>34</v>
      </c>
      <c r="U272" s="149">
        <v>20</v>
      </c>
      <c r="V272" s="149">
        <v>606</v>
      </c>
      <c r="W272" s="149">
        <v>3.79</v>
      </c>
      <c r="X272" s="149">
        <v>31.7</v>
      </c>
      <c r="Y272" s="149">
        <v>249200</v>
      </c>
      <c r="Z272" s="149">
        <v>9754</v>
      </c>
      <c r="AA272" s="149">
        <v>28.7</v>
      </c>
      <c r="AB272" s="149">
        <v>5.68</v>
      </c>
      <c r="AC272" s="149">
        <v>6981</v>
      </c>
      <c r="AD272" s="149">
        <v>757</v>
      </c>
      <c r="AE272" s="149">
        <v>8062</v>
      </c>
      <c r="AF272" s="149">
        <v>1194</v>
      </c>
      <c r="AG272" s="149">
        <v>0.877</v>
      </c>
      <c r="AH272" s="149">
        <v>22.7</v>
      </c>
      <c r="AI272" s="149">
        <v>11.3</v>
      </c>
      <c r="AJ272" s="149">
        <v>866</v>
      </c>
      <c r="AK272" s="148">
        <v>302</v>
      </c>
    </row>
    <row r="273" spans="1:37">
      <c r="A273" s="150" t="s">
        <v>396</v>
      </c>
      <c r="B273" s="149">
        <v>707.9</v>
      </c>
      <c r="C273" s="149">
        <v>255.8</v>
      </c>
      <c r="D273" s="149">
        <v>17</v>
      </c>
      <c r="E273" s="149">
        <v>31</v>
      </c>
      <c r="F273" s="149">
        <v>20</v>
      </c>
      <c r="G273" s="149">
        <v>605.9</v>
      </c>
      <c r="H273" s="149">
        <v>223500</v>
      </c>
      <c r="I273" s="149">
        <v>8681</v>
      </c>
      <c r="J273" s="149">
        <v>6313</v>
      </c>
      <c r="K273" s="149">
        <v>679</v>
      </c>
      <c r="L273" s="149">
        <v>7250</v>
      </c>
      <c r="M273" s="149">
        <v>1065</v>
      </c>
      <c r="N273" s="148">
        <v>272</v>
      </c>
      <c r="O273" s="150" t="s">
        <v>396</v>
      </c>
      <c r="P273" s="149">
        <v>213.4</v>
      </c>
      <c r="Q273" s="149">
        <v>707.9</v>
      </c>
      <c r="R273" s="149">
        <v>255.8</v>
      </c>
      <c r="S273" s="149">
        <v>17</v>
      </c>
      <c r="T273" s="149">
        <v>31</v>
      </c>
      <c r="U273" s="149">
        <v>20</v>
      </c>
      <c r="V273" s="149">
        <v>605.9</v>
      </c>
      <c r="W273" s="149">
        <v>4.13</v>
      </c>
      <c r="X273" s="149">
        <v>35.6</v>
      </c>
      <c r="Y273" s="149">
        <v>223500</v>
      </c>
      <c r="Z273" s="149">
        <v>8681</v>
      </c>
      <c r="AA273" s="149">
        <v>28.7</v>
      </c>
      <c r="AB273" s="149">
        <v>5.65</v>
      </c>
      <c r="AC273" s="149">
        <v>6313</v>
      </c>
      <c r="AD273" s="149">
        <v>679</v>
      </c>
      <c r="AE273" s="149">
        <v>7250</v>
      </c>
      <c r="AF273" s="149">
        <v>1065</v>
      </c>
      <c r="AG273" s="149">
        <v>0.879</v>
      </c>
      <c r="AH273" s="149">
        <v>24.8</v>
      </c>
      <c r="AI273" s="149">
        <v>9.94</v>
      </c>
      <c r="AJ273" s="149">
        <v>649</v>
      </c>
      <c r="AK273" s="148">
        <v>272</v>
      </c>
    </row>
    <row r="274" spans="1:37">
      <c r="A274" s="150" t="s">
        <v>395</v>
      </c>
      <c r="B274" s="149">
        <v>701.8</v>
      </c>
      <c r="C274" s="149">
        <v>254.3</v>
      </c>
      <c r="D274" s="149">
        <v>15.5</v>
      </c>
      <c r="E274" s="149">
        <v>27.9</v>
      </c>
      <c r="F274" s="149">
        <v>20</v>
      </c>
      <c r="G274" s="149">
        <v>606</v>
      </c>
      <c r="H274" s="149">
        <v>199500</v>
      </c>
      <c r="I274" s="149">
        <v>7673</v>
      </c>
      <c r="J274" s="149">
        <v>5685</v>
      </c>
      <c r="K274" s="149">
        <v>603</v>
      </c>
      <c r="L274" s="149">
        <v>6508</v>
      </c>
      <c r="M274" s="149">
        <v>945</v>
      </c>
      <c r="N274" s="148">
        <v>245</v>
      </c>
      <c r="O274" s="150" t="s">
        <v>395</v>
      </c>
      <c r="P274" s="149">
        <v>192.7</v>
      </c>
      <c r="Q274" s="149">
        <v>701.8</v>
      </c>
      <c r="R274" s="149">
        <v>254.3</v>
      </c>
      <c r="S274" s="149">
        <v>15.5</v>
      </c>
      <c r="T274" s="149">
        <v>27.9</v>
      </c>
      <c r="U274" s="149">
        <v>20</v>
      </c>
      <c r="V274" s="149">
        <v>606</v>
      </c>
      <c r="W274" s="149">
        <v>4.5599999999999996</v>
      </c>
      <c r="X274" s="149">
        <v>39.1</v>
      </c>
      <c r="Y274" s="149">
        <v>199500</v>
      </c>
      <c r="Z274" s="149">
        <v>7673</v>
      </c>
      <c r="AA274" s="149">
        <v>28.5</v>
      </c>
      <c r="AB274" s="149">
        <v>5.59</v>
      </c>
      <c r="AC274" s="149">
        <v>5685</v>
      </c>
      <c r="AD274" s="149">
        <v>603</v>
      </c>
      <c r="AE274" s="149">
        <v>6508</v>
      </c>
      <c r="AF274" s="149">
        <v>945</v>
      </c>
      <c r="AG274" s="149">
        <v>0.878</v>
      </c>
      <c r="AH274" s="149">
        <v>27.3</v>
      </c>
      <c r="AI274" s="149">
        <v>8.7100000000000009</v>
      </c>
      <c r="AJ274" s="149">
        <v>480</v>
      </c>
      <c r="AK274" s="148">
        <v>245</v>
      </c>
    </row>
    <row r="275" spans="1:37">
      <c r="A275" s="150" t="s">
        <v>394</v>
      </c>
      <c r="B275" s="149">
        <v>693.2</v>
      </c>
      <c r="C275" s="149">
        <v>255.8</v>
      </c>
      <c r="D275" s="149">
        <v>14.5</v>
      </c>
      <c r="E275" s="149">
        <v>23.6</v>
      </c>
      <c r="F275" s="149">
        <v>20</v>
      </c>
      <c r="G275" s="149">
        <v>606</v>
      </c>
      <c r="H275" s="149">
        <v>171500</v>
      </c>
      <c r="I275" s="149">
        <v>6605</v>
      </c>
      <c r="J275" s="149">
        <v>4947</v>
      </c>
      <c r="K275" s="149">
        <v>516</v>
      </c>
      <c r="L275" s="149">
        <v>5664</v>
      </c>
      <c r="M275" s="149">
        <v>810</v>
      </c>
      <c r="N275" s="148">
        <v>218</v>
      </c>
      <c r="O275" s="150" t="s">
        <v>394</v>
      </c>
      <c r="P275" s="149">
        <v>171</v>
      </c>
      <c r="Q275" s="149">
        <v>693.2</v>
      </c>
      <c r="R275" s="149">
        <v>255.8</v>
      </c>
      <c r="S275" s="149">
        <v>14.5</v>
      </c>
      <c r="T275" s="149">
        <v>23.6</v>
      </c>
      <c r="U275" s="149">
        <v>20</v>
      </c>
      <c r="V275" s="149">
        <v>606</v>
      </c>
      <c r="W275" s="149">
        <v>5.42</v>
      </c>
      <c r="X275" s="149">
        <v>41.8</v>
      </c>
      <c r="Y275" s="149">
        <v>171500</v>
      </c>
      <c r="Z275" s="149">
        <v>6605</v>
      </c>
      <c r="AA275" s="149">
        <v>28.1</v>
      </c>
      <c r="AB275" s="149">
        <v>5.51</v>
      </c>
      <c r="AC275" s="149">
        <v>4947</v>
      </c>
      <c r="AD275" s="149">
        <v>516</v>
      </c>
      <c r="AE275" s="149">
        <v>5664</v>
      </c>
      <c r="AF275" s="149">
        <v>810</v>
      </c>
      <c r="AG275" s="149">
        <v>0.873</v>
      </c>
      <c r="AH275" s="149">
        <v>31.3</v>
      </c>
      <c r="AI275" s="149">
        <v>7.4</v>
      </c>
      <c r="AJ275" s="149">
        <v>319</v>
      </c>
      <c r="AK275" s="148">
        <v>218</v>
      </c>
    </row>
    <row r="276" spans="1:37">
      <c r="A276" s="150" t="s">
        <v>393</v>
      </c>
      <c r="B276" s="149">
        <v>688.1</v>
      </c>
      <c r="C276" s="149">
        <v>254.4</v>
      </c>
      <c r="D276" s="149">
        <v>13.1</v>
      </c>
      <c r="E276" s="149">
        <v>21.1</v>
      </c>
      <c r="F276" s="149">
        <v>20</v>
      </c>
      <c r="G276" s="149">
        <v>605.9</v>
      </c>
      <c r="H276" s="149">
        <v>152300</v>
      </c>
      <c r="I276" s="149">
        <v>5807</v>
      </c>
      <c r="J276" s="149">
        <v>4428</v>
      </c>
      <c r="K276" s="149">
        <v>457</v>
      </c>
      <c r="L276" s="149">
        <v>5056</v>
      </c>
      <c r="M276" s="149">
        <v>714</v>
      </c>
      <c r="N276" s="148">
        <v>195</v>
      </c>
      <c r="O276" s="150" t="s">
        <v>393</v>
      </c>
      <c r="P276" s="149">
        <v>153.4</v>
      </c>
      <c r="Q276" s="149">
        <v>688.1</v>
      </c>
      <c r="R276" s="149">
        <v>254.4</v>
      </c>
      <c r="S276" s="149">
        <v>13.1</v>
      </c>
      <c r="T276" s="149">
        <v>21.1</v>
      </c>
      <c r="U276" s="149">
        <v>20</v>
      </c>
      <c r="V276" s="149">
        <v>605.9</v>
      </c>
      <c r="W276" s="149">
        <v>6.03</v>
      </c>
      <c r="X276" s="149">
        <v>46.3</v>
      </c>
      <c r="Y276" s="149">
        <v>152300</v>
      </c>
      <c r="Z276" s="149">
        <v>5807</v>
      </c>
      <c r="AA276" s="149">
        <v>27.9</v>
      </c>
      <c r="AB276" s="149">
        <v>5.45</v>
      </c>
      <c r="AC276" s="149">
        <v>4428</v>
      </c>
      <c r="AD276" s="149">
        <v>457</v>
      </c>
      <c r="AE276" s="149">
        <v>5056</v>
      </c>
      <c r="AF276" s="149">
        <v>714</v>
      </c>
      <c r="AG276" s="149">
        <v>0.872</v>
      </c>
      <c r="AH276" s="149">
        <v>34.6</v>
      </c>
      <c r="AI276" s="149">
        <v>6.46</v>
      </c>
      <c r="AJ276" s="149">
        <v>232</v>
      </c>
      <c r="AK276" s="148">
        <v>195</v>
      </c>
    </row>
    <row r="277" spans="1:37">
      <c r="A277" s="150" t="s">
        <v>392</v>
      </c>
      <c r="B277" s="149">
        <v>683.8</v>
      </c>
      <c r="C277" s="149">
        <v>253.7</v>
      </c>
      <c r="D277" s="149">
        <v>12.4</v>
      </c>
      <c r="E277" s="149">
        <v>18.899999999999999</v>
      </c>
      <c r="F277" s="149">
        <v>20</v>
      </c>
      <c r="G277" s="149">
        <v>606</v>
      </c>
      <c r="H277" s="149">
        <v>137400</v>
      </c>
      <c r="I277" s="149">
        <v>5158</v>
      </c>
      <c r="J277" s="149">
        <v>4018</v>
      </c>
      <c r="K277" s="149">
        <v>407</v>
      </c>
      <c r="L277" s="149">
        <v>4591</v>
      </c>
      <c r="M277" s="149">
        <v>637</v>
      </c>
      <c r="N277" s="148">
        <v>179</v>
      </c>
      <c r="O277" s="150" t="s">
        <v>392</v>
      </c>
      <c r="P277" s="149">
        <v>140.9</v>
      </c>
      <c r="Q277" s="149">
        <v>683.8</v>
      </c>
      <c r="R277" s="149">
        <v>253.7</v>
      </c>
      <c r="S277" s="149">
        <v>12.4</v>
      </c>
      <c r="T277" s="149">
        <v>18.899999999999999</v>
      </c>
      <c r="U277" s="149">
        <v>20</v>
      </c>
      <c r="V277" s="149">
        <v>606</v>
      </c>
      <c r="W277" s="149">
        <v>6.71</v>
      </c>
      <c r="X277" s="149">
        <v>48.9</v>
      </c>
      <c r="Y277" s="149">
        <v>137400</v>
      </c>
      <c r="Z277" s="149">
        <v>5158</v>
      </c>
      <c r="AA277" s="149">
        <v>27.7</v>
      </c>
      <c r="AB277" s="149">
        <v>5.36</v>
      </c>
      <c r="AC277" s="149">
        <v>4018</v>
      </c>
      <c r="AD277" s="149">
        <v>407</v>
      </c>
      <c r="AE277" s="149">
        <v>4591</v>
      </c>
      <c r="AF277" s="149">
        <v>637</v>
      </c>
      <c r="AG277" s="149">
        <v>0.86899999999999999</v>
      </c>
      <c r="AH277" s="149">
        <v>37.9</v>
      </c>
      <c r="AI277" s="149">
        <v>5.7</v>
      </c>
      <c r="AJ277" s="149">
        <v>177</v>
      </c>
      <c r="AK277" s="148">
        <v>179</v>
      </c>
    </row>
    <row r="278" spans="1:37">
      <c r="A278" s="147" t="s">
        <v>391</v>
      </c>
      <c r="B278" s="146">
        <v>678.4</v>
      </c>
      <c r="C278" s="146">
        <v>253</v>
      </c>
      <c r="D278" s="146">
        <v>11.7</v>
      </c>
      <c r="E278" s="146">
        <v>16.3</v>
      </c>
      <c r="F278" s="146">
        <v>20</v>
      </c>
      <c r="G278" s="146">
        <v>605.79999999999995</v>
      </c>
      <c r="H278" s="146">
        <v>120200</v>
      </c>
      <c r="I278" s="146">
        <v>4412</v>
      </c>
      <c r="J278" s="146">
        <v>3542</v>
      </c>
      <c r="K278" s="146">
        <v>349</v>
      </c>
      <c r="L278" s="146">
        <v>4060</v>
      </c>
      <c r="M278" s="146">
        <v>547</v>
      </c>
      <c r="N278" s="145">
        <v>161</v>
      </c>
      <c r="O278" s="147" t="s">
        <v>391</v>
      </c>
      <c r="P278" s="146">
        <v>126.8</v>
      </c>
      <c r="Q278" s="146">
        <v>678.4</v>
      </c>
      <c r="R278" s="146">
        <v>253</v>
      </c>
      <c r="S278" s="146">
        <v>11.7</v>
      </c>
      <c r="T278" s="146">
        <v>16.3</v>
      </c>
      <c r="U278" s="146">
        <v>20</v>
      </c>
      <c r="V278" s="146">
        <v>605.79999999999995</v>
      </c>
      <c r="W278" s="146">
        <v>7.76</v>
      </c>
      <c r="X278" s="146">
        <v>51.8</v>
      </c>
      <c r="Y278" s="146">
        <v>120200</v>
      </c>
      <c r="Z278" s="146">
        <v>4412</v>
      </c>
      <c r="AA278" s="146">
        <v>27.3</v>
      </c>
      <c r="AB278" s="146">
        <v>5.23</v>
      </c>
      <c r="AC278" s="146">
        <v>3542</v>
      </c>
      <c r="AD278" s="146">
        <v>349</v>
      </c>
      <c r="AE278" s="146">
        <v>4060</v>
      </c>
      <c r="AF278" s="146">
        <v>547</v>
      </c>
      <c r="AG278" s="146">
        <v>0.86299999999999999</v>
      </c>
      <c r="AH278" s="146">
        <v>42.5</v>
      </c>
      <c r="AI278" s="146">
        <v>4.84</v>
      </c>
      <c r="AJ278" s="146">
        <v>126</v>
      </c>
      <c r="AK278" s="145">
        <v>161</v>
      </c>
    </row>
    <row r="279" spans="1:37" ht="15.6">
      <c r="A279" s="150" t="s">
        <v>390</v>
      </c>
      <c r="B279" s="149">
        <v>689</v>
      </c>
      <c r="C279" s="149">
        <v>340</v>
      </c>
      <c r="D279" s="149">
        <v>32</v>
      </c>
      <c r="E279" s="149">
        <v>57.9</v>
      </c>
      <c r="F279" s="149">
        <v>20</v>
      </c>
      <c r="G279" s="149">
        <v>533.20000000000005</v>
      </c>
      <c r="H279" s="149">
        <v>446100</v>
      </c>
      <c r="I279" s="149">
        <v>38100</v>
      </c>
      <c r="J279" s="149">
        <v>12950</v>
      </c>
      <c r="K279" s="149">
        <v>2241</v>
      </c>
      <c r="L279" s="149">
        <v>15150</v>
      </c>
      <c r="M279" s="149">
        <v>3500</v>
      </c>
      <c r="N279" s="148">
        <v>581</v>
      </c>
      <c r="O279" s="150" t="s">
        <v>390</v>
      </c>
      <c r="P279" s="149">
        <v>455.8</v>
      </c>
      <c r="Q279" s="149">
        <v>689</v>
      </c>
      <c r="R279" s="149">
        <v>340</v>
      </c>
      <c r="S279" s="149">
        <v>32</v>
      </c>
      <c r="T279" s="149">
        <v>57.9</v>
      </c>
      <c r="U279" s="149">
        <v>20</v>
      </c>
      <c r="V279" s="149">
        <v>533.20000000000005</v>
      </c>
      <c r="W279" s="149">
        <v>2.94</v>
      </c>
      <c r="X279" s="149">
        <v>16.7</v>
      </c>
      <c r="Y279" s="149">
        <v>446100</v>
      </c>
      <c r="Z279" s="149">
        <v>38100</v>
      </c>
      <c r="AA279" s="149">
        <v>27.7</v>
      </c>
      <c r="AB279" s="149">
        <v>8.1</v>
      </c>
      <c r="AC279" s="149">
        <v>12950</v>
      </c>
      <c r="AD279" s="149">
        <v>2241</v>
      </c>
      <c r="AE279" s="149">
        <v>15150</v>
      </c>
      <c r="AF279" s="149">
        <v>3500</v>
      </c>
      <c r="AG279" s="149">
        <v>0.88900000000000001</v>
      </c>
      <c r="AH279" s="149">
        <v>12.2</v>
      </c>
      <c r="AI279" s="149">
        <v>37.9</v>
      </c>
      <c r="AJ279" s="149">
        <v>5004</v>
      </c>
      <c r="AK279" s="148">
        <v>581</v>
      </c>
    </row>
    <row r="280" spans="1:37" ht="15.6">
      <c r="A280" s="150" t="s">
        <v>389</v>
      </c>
      <c r="B280" s="149">
        <v>679</v>
      </c>
      <c r="C280" s="149">
        <v>338</v>
      </c>
      <c r="D280" s="149">
        <v>29.5</v>
      </c>
      <c r="E280" s="149">
        <v>53.1</v>
      </c>
      <c r="F280" s="149">
        <v>20</v>
      </c>
      <c r="G280" s="149">
        <v>532.79999999999995</v>
      </c>
      <c r="H280" s="149">
        <v>401300</v>
      </c>
      <c r="I280" s="149">
        <v>34310</v>
      </c>
      <c r="J280" s="149">
        <v>11820</v>
      </c>
      <c r="K280" s="149">
        <v>2030</v>
      </c>
      <c r="L280" s="149">
        <v>13750</v>
      </c>
      <c r="M280" s="149">
        <v>3164</v>
      </c>
      <c r="N280" s="148">
        <v>531</v>
      </c>
      <c r="O280" s="150" t="s">
        <v>389</v>
      </c>
      <c r="P280" s="149">
        <v>417.1</v>
      </c>
      <c r="Q280" s="149">
        <v>679</v>
      </c>
      <c r="R280" s="149">
        <v>338</v>
      </c>
      <c r="S280" s="149">
        <v>29.5</v>
      </c>
      <c r="T280" s="149">
        <v>53.1</v>
      </c>
      <c r="U280" s="149">
        <v>20</v>
      </c>
      <c r="V280" s="149">
        <v>532.79999999999995</v>
      </c>
      <c r="W280" s="149">
        <v>3.18</v>
      </c>
      <c r="X280" s="149">
        <v>18.100000000000001</v>
      </c>
      <c r="Y280" s="149">
        <v>401300</v>
      </c>
      <c r="Z280" s="149">
        <v>34310</v>
      </c>
      <c r="AA280" s="149">
        <v>27.5</v>
      </c>
      <c r="AB280" s="149">
        <v>8.0399999999999991</v>
      </c>
      <c r="AC280" s="149">
        <v>11820</v>
      </c>
      <c r="AD280" s="149">
        <v>2030</v>
      </c>
      <c r="AE280" s="149">
        <v>13750</v>
      </c>
      <c r="AF280" s="149">
        <v>3164</v>
      </c>
      <c r="AG280" s="149">
        <v>0.88900000000000001</v>
      </c>
      <c r="AH280" s="149">
        <v>13.1</v>
      </c>
      <c r="AI280" s="149">
        <v>33.6</v>
      </c>
      <c r="AJ280" s="149">
        <v>3877</v>
      </c>
      <c r="AK280" s="148">
        <v>531</v>
      </c>
    </row>
    <row r="281" spans="1:37" ht="15.6">
      <c r="A281" s="150" t="s">
        <v>388</v>
      </c>
      <c r="B281" s="149">
        <v>669</v>
      </c>
      <c r="C281" s="149">
        <v>335</v>
      </c>
      <c r="D281" s="149">
        <v>26.4</v>
      </c>
      <c r="E281" s="149">
        <v>48</v>
      </c>
      <c r="F281" s="149">
        <v>20</v>
      </c>
      <c r="G281" s="149">
        <v>533</v>
      </c>
      <c r="H281" s="149">
        <v>354800</v>
      </c>
      <c r="I281" s="149">
        <v>30180</v>
      </c>
      <c r="J281" s="149">
        <v>10610</v>
      </c>
      <c r="K281" s="149">
        <v>1802</v>
      </c>
      <c r="L281" s="149">
        <v>12250</v>
      </c>
      <c r="M281" s="149">
        <v>2799</v>
      </c>
      <c r="N281" s="148">
        <v>476</v>
      </c>
      <c r="O281" s="150" t="s">
        <v>388</v>
      </c>
      <c r="P281" s="149">
        <v>373.9</v>
      </c>
      <c r="Q281" s="149">
        <v>669</v>
      </c>
      <c r="R281" s="149">
        <v>335</v>
      </c>
      <c r="S281" s="149">
        <v>26.4</v>
      </c>
      <c r="T281" s="149">
        <v>48</v>
      </c>
      <c r="U281" s="149">
        <v>20</v>
      </c>
      <c r="V281" s="149">
        <v>533</v>
      </c>
      <c r="W281" s="149">
        <v>3.49</v>
      </c>
      <c r="X281" s="149">
        <v>20.2</v>
      </c>
      <c r="Y281" s="149">
        <v>354800</v>
      </c>
      <c r="Z281" s="149">
        <v>30180</v>
      </c>
      <c r="AA281" s="149">
        <v>27.3</v>
      </c>
      <c r="AB281" s="149">
        <v>7.96</v>
      </c>
      <c r="AC281" s="149">
        <v>10610</v>
      </c>
      <c r="AD281" s="149">
        <v>1802</v>
      </c>
      <c r="AE281" s="149">
        <v>12250</v>
      </c>
      <c r="AF281" s="149">
        <v>2799</v>
      </c>
      <c r="AG281" s="149">
        <v>0.89</v>
      </c>
      <c r="AH281" s="149">
        <v>14.4</v>
      </c>
      <c r="AI281" s="149">
        <v>29.1</v>
      </c>
      <c r="AJ281" s="149">
        <v>2850</v>
      </c>
      <c r="AK281" s="148">
        <v>476</v>
      </c>
    </row>
    <row r="282" spans="1:37" ht="15.6">
      <c r="A282" s="150" t="s">
        <v>387</v>
      </c>
      <c r="B282" s="149">
        <v>661</v>
      </c>
      <c r="C282" s="149">
        <v>333</v>
      </c>
      <c r="D282" s="149">
        <v>24.4</v>
      </c>
      <c r="E282" s="149">
        <v>43.9</v>
      </c>
      <c r="F282" s="149">
        <v>20</v>
      </c>
      <c r="G282" s="149">
        <v>533.20000000000005</v>
      </c>
      <c r="H282" s="149">
        <v>319800</v>
      </c>
      <c r="I282" s="149">
        <v>27100</v>
      </c>
      <c r="J282" s="149">
        <v>9678</v>
      </c>
      <c r="K282" s="149">
        <v>1627</v>
      </c>
      <c r="L282" s="149">
        <v>11120</v>
      </c>
      <c r="M282" s="149">
        <v>2525</v>
      </c>
      <c r="N282" s="148">
        <v>436</v>
      </c>
      <c r="O282" s="150" t="s">
        <v>387</v>
      </c>
      <c r="P282" s="149">
        <v>342</v>
      </c>
      <c r="Q282" s="149">
        <v>661</v>
      </c>
      <c r="R282" s="149">
        <v>333</v>
      </c>
      <c r="S282" s="149">
        <v>24.4</v>
      </c>
      <c r="T282" s="149">
        <v>43.9</v>
      </c>
      <c r="U282" s="149">
        <v>20</v>
      </c>
      <c r="V282" s="149">
        <v>533.20000000000005</v>
      </c>
      <c r="W282" s="149">
        <v>3.79</v>
      </c>
      <c r="X282" s="149">
        <v>21.9</v>
      </c>
      <c r="Y282" s="149">
        <v>319800</v>
      </c>
      <c r="Z282" s="149">
        <v>27100</v>
      </c>
      <c r="AA282" s="149">
        <v>27.1</v>
      </c>
      <c r="AB282" s="149">
        <v>7.89</v>
      </c>
      <c r="AC282" s="149">
        <v>9678</v>
      </c>
      <c r="AD282" s="149">
        <v>1627</v>
      </c>
      <c r="AE282" s="149">
        <v>11120</v>
      </c>
      <c r="AF282" s="149">
        <v>2525</v>
      </c>
      <c r="AG282" s="149">
        <v>0.89</v>
      </c>
      <c r="AH282" s="149">
        <v>15.6</v>
      </c>
      <c r="AI282" s="149">
        <v>25.8</v>
      </c>
      <c r="AJ282" s="149">
        <v>2196</v>
      </c>
      <c r="AK282" s="148">
        <v>436</v>
      </c>
    </row>
    <row r="283" spans="1:37" ht="15.6">
      <c r="A283" s="150" t="s">
        <v>386</v>
      </c>
      <c r="B283" s="149">
        <v>653</v>
      </c>
      <c r="C283" s="149">
        <v>330</v>
      </c>
      <c r="D283" s="149">
        <v>22.1</v>
      </c>
      <c r="E283" s="149">
        <v>39.9</v>
      </c>
      <c r="F283" s="149">
        <v>20</v>
      </c>
      <c r="G283" s="149">
        <v>533.20000000000005</v>
      </c>
      <c r="H283" s="149">
        <v>285200</v>
      </c>
      <c r="I283" s="149">
        <v>23960</v>
      </c>
      <c r="J283" s="149">
        <v>8736</v>
      </c>
      <c r="K283" s="149">
        <v>1452</v>
      </c>
      <c r="L283" s="149">
        <v>9985</v>
      </c>
      <c r="M283" s="149">
        <v>2248</v>
      </c>
      <c r="N283" s="148">
        <v>393</v>
      </c>
      <c r="O283" s="150" t="s">
        <v>386</v>
      </c>
      <c r="P283" s="149">
        <v>308.89999999999998</v>
      </c>
      <c r="Q283" s="149">
        <v>653</v>
      </c>
      <c r="R283" s="149">
        <v>330</v>
      </c>
      <c r="S283" s="149">
        <v>22.1</v>
      </c>
      <c r="T283" s="149">
        <v>39.9</v>
      </c>
      <c r="U283" s="149">
        <v>20</v>
      </c>
      <c r="V283" s="149">
        <v>533.20000000000005</v>
      </c>
      <c r="W283" s="149">
        <v>4.1399999999999997</v>
      </c>
      <c r="X283" s="149">
        <v>24.1</v>
      </c>
      <c r="Y283" s="149">
        <v>285200</v>
      </c>
      <c r="Z283" s="149">
        <v>23960</v>
      </c>
      <c r="AA283" s="149">
        <v>26.9</v>
      </c>
      <c r="AB283" s="149">
        <v>7.8</v>
      </c>
      <c r="AC283" s="149">
        <v>8736</v>
      </c>
      <c r="AD283" s="149">
        <v>1452</v>
      </c>
      <c r="AE283" s="149">
        <v>9985</v>
      </c>
      <c r="AF283" s="149">
        <v>2248</v>
      </c>
      <c r="AG283" s="149">
        <v>0.89</v>
      </c>
      <c r="AH283" s="149">
        <v>17</v>
      </c>
      <c r="AI283" s="149">
        <v>22.5</v>
      </c>
      <c r="AJ283" s="149">
        <v>1646</v>
      </c>
      <c r="AK283" s="148">
        <v>393</v>
      </c>
    </row>
    <row r="284" spans="1:37" ht="15.6">
      <c r="A284" s="150" t="s">
        <v>385</v>
      </c>
      <c r="B284" s="149">
        <v>647</v>
      </c>
      <c r="C284" s="149">
        <v>329</v>
      </c>
      <c r="D284" s="149">
        <v>20.6</v>
      </c>
      <c r="E284" s="149">
        <v>37.1</v>
      </c>
      <c r="F284" s="149">
        <v>20</v>
      </c>
      <c r="G284" s="149">
        <v>532.79999999999995</v>
      </c>
      <c r="H284" s="149">
        <v>262300</v>
      </c>
      <c r="I284" s="149">
        <v>22070</v>
      </c>
      <c r="J284" s="149">
        <v>8108</v>
      </c>
      <c r="K284" s="149">
        <v>1342</v>
      </c>
      <c r="L284" s="149">
        <v>9231</v>
      </c>
      <c r="M284" s="149">
        <v>2074</v>
      </c>
      <c r="N284" s="148">
        <v>366</v>
      </c>
      <c r="O284" s="150" t="s">
        <v>385</v>
      </c>
      <c r="P284" s="149">
        <v>287</v>
      </c>
      <c r="Q284" s="149">
        <v>647</v>
      </c>
      <c r="R284" s="149">
        <v>329</v>
      </c>
      <c r="S284" s="149">
        <v>20.6</v>
      </c>
      <c r="T284" s="149">
        <v>37.1</v>
      </c>
      <c r="U284" s="149">
        <v>20</v>
      </c>
      <c r="V284" s="149">
        <v>532.79999999999995</v>
      </c>
      <c r="W284" s="149">
        <v>4.43</v>
      </c>
      <c r="X284" s="149">
        <v>25.9</v>
      </c>
      <c r="Y284" s="149">
        <v>262300</v>
      </c>
      <c r="Z284" s="149">
        <v>22070</v>
      </c>
      <c r="AA284" s="149">
        <v>26.8</v>
      </c>
      <c r="AB284" s="149">
        <v>7.77</v>
      </c>
      <c r="AC284" s="149">
        <v>8108</v>
      </c>
      <c r="AD284" s="149">
        <v>1342</v>
      </c>
      <c r="AE284" s="149">
        <v>9231</v>
      </c>
      <c r="AF284" s="149">
        <v>2074</v>
      </c>
      <c r="AG284" s="149">
        <v>0.89</v>
      </c>
      <c r="AH284" s="149">
        <v>18.100000000000001</v>
      </c>
      <c r="AI284" s="149">
        <v>20.5</v>
      </c>
      <c r="AJ284" s="149">
        <v>1329</v>
      </c>
      <c r="AK284" s="148">
        <v>366</v>
      </c>
    </row>
    <row r="285" spans="1:37" ht="15.6">
      <c r="A285" s="150" t="s">
        <v>384</v>
      </c>
      <c r="B285" s="149">
        <v>641</v>
      </c>
      <c r="C285" s="149">
        <v>327</v>
      </c>
      <c r="D285" s="149">
        <v>19</v>
      </c>
      <c r="E285" s="149">
        <v>34</v>
      </c>
      <c r="F285" s="149">
        <v>20</v>
      </c>
      <c r="G285" s="149">
        <v>533</v>
      </c>
      <c r="H285" s="149">
        <v>237600</v>
      </c>
      <c r="I285" s="149">
        <v>19850</v>
      </c>
      <c r="J285" s="149">
        <v>7412</v>
      </c>
      <c r="K285" s="149">
        <v>1214</v>
      </c>
      <c r="L285" s="149">
        <v>8405</v>
      </c>
      <c r="M285" s="149">
        <v>1874</v>
      </c>
      <c r="N285" s="148">
        <v>335</v>
      </c>
      <c r="O285" s="150" t="s">
        <v>384</v>
      </c>
      <c r="P285" s="149">
        <v>262.7</v>
      </c>
      <c r="Q285" s="149">
        <v>641</v>
      </c>
      <c r="R285" s="149">
        <v>327</v>
      </c>
      <c r="S285" s="149">
        <v>19</v>
      </c>
      <c r="T285" s="149">
        <v>34</v>
      </c>
      <c r="U285" s="149">
        <v>20</v>
      </c>
      <c r="V285" s="149">
        <v>533</v>
      </c>
      <c r="W285" s="149">
        <v>4.8099999999999996</v>
      </c>
      <c r="X285" s="149">
        <v>28.1</v>
      </c>
      <c r="Y285" s="149">
        <v>237600</v>
      </c>
      <c r="Z285" s="149">
        <v>19850</v>
      </c>
      <c r="AA285" s="149">
        <v>26.6</v>
      </c>
      <c r="AB285" s="149">
        <v>7.7</v>
      </c>
      <c r="AC285" s="149">
        <v>7412</v>
      </c>
      <c r="AD285" s="149">
        <v>1214</v>
      </c>
      <c r="AE285" s="149">
        <v>8405</v>
      </c>
      <c r="AF285" s="149">
        <v>1874</v>
      </c>
      <c r="AG285" s="149">
        <v>0.89</v>
      </c>
      <c r="AH285" s="149">
        <v>19.600000000000001</v>
      </c>
      <c r="AI285" s="149">
        <v>18.3</v>
      </c>
      <c r="AJ285" s="149">
        <v>1028</v>
      </c>
      <c r="AK285" s="148">
        <v>335</v>
      </c>
    </row>
    <row r="286" spans="1:37" ht="15.6">
      <c r="A286" s="150" t="s">
        <v>383</v>
      </c>
      <c r="B286" s="149">
        <v>635</v>
      </c>
      <c r="C286" s="149">
        <v>329.1</v>
      </c>
      <c r="D286" s="149">
        <v>17.899999999999999</v>
      </c>
      <c r="E286" s="149">
        <v>31</v>
      </c>
      <c r="F286" s="149">
        <v>20</v>
      </c>
      <c r="G286" s="149">
        <v>533</v>
      </c>
      <c r="H286" s="149">
        <v>217100</v>
      </c>
      <c r="I286" s="149">
        <v>18450</v>
      </c>
      <c r="J286" s="149">
        <v>6836</v>
      </c>
      <c r="K286" s="149">
        <v>1121</v>
      </c>
      <c r="L286" s="149">
        <v>7728</v>
      </c>
      <c r="M286" s="149">
        <v>1729</v>
      </c>
      <c r="N286" s="148">
        <v>310</v>
      </c>
      <c r="O286" s="150" t="s">
        <v>383</v>
      </c>
      <c r="P286" s="149">
        <v>243.4</v>
      </c>
      <c r="Q286" s="149">
        <v>635</v>
      </c>
      <c r="R286" s="149">
        <v>329.1</v>
      </c>
      <c r="S286" s="149">
        <v>17.899999999999999</v>
      </c>
      <c r="T286" s="149">
        <v>31</v>
      </c>
      <c r="U286" s="149">
        <v>20</v>
      </c>
      <c r="V286" s="149">
        <v>533</v>
      </c>
      <c r="W286" s="149">
        <v>5.31</v>
      </c>
      <c r="X286" s="149">
        <v>29.8</v>
      </c>
      <c r="Y286" s="149">
        <v>217100</v>
      </c>
      <c r="Z286" s="149">
        <v>18450</v>
      </c>
      <c r="AA286" s="149">
        <v>26.5</v>
      </c>
      <c r="AB286" s="149">
        <v>7.71</v>
      </c>
      <c r="AC286" s="149">
        <v>6836</v>
      </c>
      <c r="AD286" s="149">
        <v>1121</v>
      </c>
      <c r="AE286" s="149">
        <v>7728</v>
      </c>
      <c r="AF286" s="149">
        <v>1729</v>
      </c>
      <c r="AG286" s="149">
        <v>0.88900000000000001</v>
      </c>
      <c r="AH286" s="149">
        <v>21.2</v>
      </c>
      <c r="AI286" s="149">
        <v>16.8</v>
      </c>
      <c r="AJ286" s="149">
        <v>802</v>
      </c>
      <c r="AK286" s="148">
        <v>310</v>
      </c>
    </row>
    <row r="287" spans="1:37" ht="15.6">
      <c r="A287" s="150" t="s">
        <v>382</v>
      </c>
      <c r="B287" s="149">
        <v>628.4</v>
      </c>
      <c r="C287" s="149">
        <v>327.7</v>
      </c>
      <c r="D287" s="149">
        <v>16.5</v>
      </c>
      <c r="E287" s="149">
        <v>27.7</v>
      </c>
      <c r="F287" s="149">
        <v>20</v>
      </c>
      <c r="G287" s="149">
        <v>533</v>
      </c>
      <c r="H287" s="149">
        <v>192500</v>
      </c>
      <c r="I287" s="149">
        <v>16270</v>
      </c>
      <c r="J287" s="149">
        <v>6126</v>
      </c>
      <c r="K287" s="149">
        <v>993</v>
      </c>
      <c r="L287" s="149">
        <v>6904</v>
      </c>
      <c r="M287" s="149">
        <v>1531</v>
      </c>
      <c r="N287" s="148">
        <v>280</v>
      </c>
      <c r="O287" s="150" t="s">
        <v>382</v>
      </c>
      <c r="P287" s="149">
        <v>219.4</v>
      </c>
      <c r="Q287" s="149">
        <v>628.4</v>
      </c>
      <c r="R287" s="149">
        <v>327.7</v>
      </c>
      <c r="S287" s="149">
        <v>16.5</v>
      </c>
      <c r="T287" s="149">
        <v>27.7</v>
      </c>
      <c r="U287" s="149">
        <v>20</v>
      </c>
      <c r="V287" s="149">
        <v>533</v>
      </c>
      <c r="W287" s="149">
        <v>5.92</v>
      </c>
      <c r="X287" s="149">
        <v>32.299999999999997</v>
      </c>
      <c r="Y287" s="149">
        <v>192500</v>
      </c>
      <c r="Z287" s="149">
        <v>16270</v>
      </c>
      <c r="AA287" s="149">
        <v>26.2</v>
      </c>
      <c r="AB287" s="149">
        <v>7.63</v>
      </c>
      <c r="AC287" s="149">
        <v>6126</v>
      </c>
      <c r="AD287" s="149">
        <v>993</v>
      </c>
      <c r="AE287" s="149">
        <v>6904</v>
      </c>
      <c r="AF287" s="149">
        <v>1531</v>
      </c>
      <c r="AG287" s="149">
        <v>0.88700000000000001</v>
      </c>
      <c r="AH287" s="149">
        <v>23.5</v>
      </c>
      <c r="AI287" s="149">
        <v>14.7</v>
      </c>
      <c r="AJ287" s="149">
        <v>586</v>
      </c>
      <c r="AK287" s="148">
        <v>280</v>
      </c>
    </row>
    <row r="288" spans="1:37" ht="15.6">
      <c r="A288" s="150" t="s">
        <v>381</v>
      </c>
      <c r="B288" s="149">
        <v>621.79999999999995</v>
      </c>
      <c r="C288" s="149">
        <v>326.5</v>
      </c>
      <c r="D288" s="149">
        <v>15.4</v>
      </c>
      <c r="E288" s="149">
        <v>24.4</v>
      </c>
      <c r="F288" s="149">
        <v>20</v>
      </c>
      <c r="G288" s="149">
        <v>533</v>
      </c>
      <c r="H288" s="149">
        <v>169100</v>
      </c>
      <c r="I288" s="149">
        <v>14180</v>
      </c>
      <c r="J288" s="149">
        <v>5439</v>
      </c>
      <c r="K288" s="149">
        <v>868</v>
      </c>
      <c r="L288" s="149">
        <v>6120</v>
      </c>
      <c r="M288" s="149">
        <v>1339</v>
      </c>
      <c r="N288" s="148">
        <v>251</v>
      </c>
      <c r="O288" s="150" t="s">
        <v>381</v>
      </c>
      <c r="P288" s="149">
        <v>197</v>
      </c>
      <c r="Q288" s="149">
        <v>621.79999999999995</v>
      </c>
      <c r="R288" s="149">
        <v>326.5</v>
      </c>
      <c r="S288" s="149">
        <v>15.4</v>
      </c>
      <c r="T288" s="149">
        <v>24.4</v>
      </c>
      <c r="U288" s="149">
        <v>20</v>
      </c>
      <c r="V288" s="149">
        <v>533</v>
      </c>
      <c r="W288" s="149">
        <v>6.69</v>
      </c>
      <c r="X288" s="149">
        <v>34.6</v>
      </c>
      <c r="Y288" s="149">
        <v>169100</v>
      </c>
      <c r="Z288" s="149">
        <v>14180</v>
      </c>
      <c r="AA288" s="149">
        <v>26</v>
      </c>
      <c r="AB288" s="149">
        <v>7.52</v>
      </c>
      <c r="AC288" s="149">
        <v>5439</v>
      </c>
      <c r="AD288" s="149">
        <v>868</v>
      </c>
      <c r="AE288" s="149">
        <v>6120</v>
      </c>
      <c r="AF288" s="149">
        <v>1339</v>
      </c>
      <c r="AG288" s="149">
        <v>0.88400000000000001</v>
      </c>
      <c r="AH288" s="149">
        <v>26.2</v>
      </c>
      <c r="AI288" s="149">
        <v>12.6</v>
      </c>
      <c r="AJ288" s="149">
        <v>418</v>
      </c>
      <c r="AK288" s="148">
        <v>251</v>
      </c>
    </row>
    <row r="289" spans="1:37" ht="15.6">
      <c r="A289" s="150" t="s">
        <v>380</v>
      </c>
      <c r="B289" s="149">
        <v>616.20000000000005</v>
      </c>
      <c r="C289" s="149">
        <v>325.10000000000002</v>
      </c>
      <c r="D289" s="149">
        <v>14</v>
      </c>
      <c r="E289" s="149">
        <v>21.6</v>
      </c>
      <c r="F289" s="149">
        <v>20</v>
      </c>
      <c r="G289" s="149">
        <v>533</v>
      </c>
      <c r="H289" s="149">
        <v>148900</v>
      </c>
      <c r="I289" s="149">
        <v>12390</v>
      </c>
      <c r="J289" s="149">
        <v>4832</v>
      </c>
      <c r="K289" s="149">
        <v>762</v>
      </c>
      <c r="L289" s="149">
        <v>5421</v>
      </c>
      <c r="M289" s="149">
        <v>1173</v>
      </c>
      <c r="N289" s="148">
        <v>224</v>
      </c>
      <c r="O289" s="150" t="s">
        <v>380</v>
      </c>
      <c r="P289" s="149">
        <v>175.9</v>
      </c>
      <c r="Q289" s="149">
        <v>616.20000000000005</v>
      </c>
      <c r="R289" s="149">
        <v>325.10000000000002</v>
      </c>
      <c r="S289" s="149">
        <v>14</v>
      </c>
      <c r="T289" s="149">
        <v>21.6</v>
      </c>
      <c r="U289" s="149">
        <v>20</v>
      </c>
      <c r="V289" s="149">
        <v>533</v>
      </c>
      <c r="W289" s="149">
        <v>7.53</v>
      </c>
      <c r="X289" s="149">
        <v>38.1</v>
      </c>
      <c r="Y289" s="149">
        <v>148900</v>
      </c>
      <c r="Z289" s="149">
        <v>12390</v>
      </c>
      <c r="AA289" s="149">
        <v>25.8</v>
      </c>
      <c r="AB289" s="149">
        <v>7.43</v>
      </c>
      <c r="AC289" s="149">
        <v>4832</v>
      </c>
      <c r="AD289" s="149">
        <v>762</v>
      </c>
      <c r="AE289" s="149">
        <v>5421</v>
      </c>
      <c r="AF289" s="149">
        <v>1173</v>
      </c>
      <c r="AG289" s="149">
        <v>0.88300000000000001</v>
      </c>
      <c r="AH289" s="149">
        <v>29.2</v>
      </c>
      <c r="AI289" s="149">
        <v>10.9</v>
      </c>
      <c r="AJ289" s="149">
        <v>298</v>
      </c>
      <c r="AK289" s="148">
        <v>224</v>
      </c>
    </row>
    <row r="290" spans="1:37" ht="15.6">
      <c r="A290" s="150" t="s">
        <v>379</v>
      </c>
      <c r="B290" s="149">
        <v>611.1</v>
      </c>
      <c r="C290" s="149">
        <v>323.89999999999998</v>
      </c>
      <c r="D290" s="149">
        <v>12.7</v>
      </c>
      <c r="E290" s="149">
        <v>19</v>
      </c>
      <c r="F290" s="149">
        <v>20</v>
      </c>
      <c r="G290" s="149">
        <v>533.1</v>
      </c>
      <c r="H290" s="149">
        <v>130600</v>
      </c>
      <c r="I290" s="149">
        <v>10770</v>
      </c>
      <c r="J290" s="149">
        <v>4273</v>
      </c>
      <c r="K290" s="149">
        <v>665</v>
      </c>
      <c r="L290" s="149">
        <v>4784</v>
      </c>
      <c r="M290" s="149">
        <v>1023</v>
      </c>
      <c r="N290" s="148">
        <v>199</v>
      </c>
      <c r="O290" s="150" t="s">
        <v>379</v>
      </c>
      <c r="P290" s="149">
        <v>156.4</v>
      </c>
      <c r="Q290" s="149">
        <v>611.1</v>
      </c>
      <c r="R290" s="149">
        <v>323.89999999999998</v>
      </c>
      <c r="S290" s="149">
        <v>12.7</v>
      </c>
      <c r="T290" s="149">
        <v>19</v>
      </c>
      <c r="U290" s="149">
        <v>20</v>
      </c>
      <c r="V290" s="149">
        <v>533.1</v>
      </c>
      <c r="W290" s="149">
        <v>8.52</v>
      </c>
      <c r="X290" s="149">
        <v>42</v>
      </c>
      <c r="Y290" s="149">
        <v>130600</v>
      </c>
      <c r="Z290" s="149">
        <v>10770</v>
      </c>
      <c r="AA290" s="149">
        <v>25.6</v>
      </c>
      <c r="AB290" s="149">
        <v>7.35</v>
      </c>
      <c r="AC290" s="149">
        <v>4273</v>
      </c>
      <c r="AD290" s="149">
        <v>665</v>
      </c>
      <c r="AE290" s="149">
        <v>4784</v>
      </c>
      <c r="AF290" s="149">
        <v>1023</v>
      </c>
      <c r="AG290" s="149">
        <v>0.88100000000000001</v>
      </c>
      <c r="AH290" s="149">
        <v>32.700000000000003</v>
      </c>
      <c r="AI290" s="149">
        <v>9.44</v>
      </c>
      <c r="AJ290" s="149">
        <v>209</v>
      </c>
      <c r="AK290" s="148">
        <v>199</v>
      </c>
    </row>
    <row r="291" spans="1:37">
      <c r="A291" s="150" t="s">
        <v>378</v>
      </c>
      <c r="B291" s="149">
        <v>685</v>
      </c>
      <c r="C291" s="149">
        <v>245.6</v>
      </c>
      <c r="D291" s="149">
        <v>31</v>
      </c>
      <c r="E291" s="149">
        <v>55.9</v>
      </c>
      <c r="F291" s="149">
        <v>20</v>
      </c>
      <c r="G291" s="149">
        <v>533.20000000000005</v>
      </c>
      <c r="H291" s="149">
        <v>323800</v>
      </c>
      <c r="I291" s="149">
        <v>13960</v>
      </c>
      <c r="J291" s="149">
        <v>9453</v>
      </c>
      <c r="K291" s="149">
        <v>1137</v>
      </c>
      <c r="L291" s="149">
        <v>11280</v>
      </c>
      <c r="M291" s="149">
        <v>1830</v>
      </c>
      <c r="N291" s="148">
        <v>456</v>
      </c>
      <c r="O291" s="150" t="s">
        <v>378</v>
      </c>
      <c r="P291" s="149">
        <v>357.7</v>
      </c>
      <c r="Q291" s="149">
        <v>685</v>
      </c>
      <c r="R291" s="149">
        <v>245.6</v>
      </c>
      <c r="S291" s="149">
        <v>31</v>
      </c>
      <c r="T291" s="149">
        <v>55.9</v>
      </c>
      <c r="U291" s="149">
        <v>20</v>
      </c>
      <c r="V291" s="149">
        <v>533.20000000000005</v>
      </c>
      <c r="W291" s="149">
        <v>2.2000000000000002</v>
      </c>
      <c r="X291" s="149">
        <v>17.2</v>
      </c>
      <c r="Y291" s="149">
        <v>323800</v>
      </c>
      <c r="Z291" s="149">
        <v>13960</v>
      </c>
      <c r="AA291" s="149">
        <v>26.7</v>
      </c>
      <c r="AB291" s="149">
        <v>5.53</v>
      </c>
      <c r="AC291" s="149">
        <v>9453</v>
      </c>
      <c r="AD291" s="149">
        <v>1137</v>
      </c>
      <c r="AE291" s="149">
        <v>11280</v>
      </c>
      <c r="AF291" s="149">
        <v>1830</v>
      </c>
      <c r="AG291" s="149">
        <v>0.877</v>
      </c>
      <c r="AH291" s="149">
        <v>13</v>
      </c>
      <c r="AI291" s="149">
        <v>13.8</v>
      </c>
      <c r="AJ291" s="149">
        <v>3425</v>
      </c>
      <c r="AK291" s="148">
        <v>456</v>
      </c>
    </row>
    <row r="292" spans="1:37">
      <c r="A292" s="150" t="s">
        <v>377</v>
      </c>
      <c r="B292" s="149">
        <v>675.1</v>
      </c>
      <c r="C292" s="149">
        <v>243.1</v>
      </c>
      <c r="D292" s="149">
        <v>28.4</v>
      </c>
      <c r="E292" s="149">
        <v>51</v>
      </c>
      <c r="F292" s="149">
        <v>20</v>
      </c>
      <c r="G292" s="149">
        <v>533.1</v>
      </c>
      <c r="H292" s="149">
        <v>289300</v>
      </c>
      <c r="I292" s="149">
        <v>12330</v>
      </c>
      <c r="J292" s="149">
        <v>8570</v>
      </c>
      <c r="K292" s="149">
        <v>1015</v>
      </c>
      <c r="L292" s="149">
        <v>10170</v>
      </c>
      <c r="M292" s="149">
        <v>1629</v>
      </c>
      <c r="N292" s="148">
        <v>414</v>
      </c>
      <c r="O292" s="150" t="s">
        <v>377</v>
      </c>
      <c r="P292" s="149">
        <v>325.10000000000002</v>
      </c>
      <c r="Q292" s="149">
        <v>675.1</v>
      </c>
      <c r="R292" s="149">
        <v>243.1</v>
      </c>
      <c r="S292" s="149">
        <v>28.4</v>
      </c>
      <c r="T292" s="149">
        <v>51</v>
      </c>
      <c r="U292" s="149">
        <v>20</v>
      </c>
      <c r="V292" s="149">
        <v>533.1</v>
      </c>
      <c r="W292" s="149">
        <v>2.38</v>
      </c>
      <c r="X292" s="149">
        <v>18.8</v>
      </c>
      <c r="Y292" s="149">
        <v>289300</v>
      </c>
      <c r="Z292" s="149">
        <v>12330</v>
      </c>
      <c r="AA292" s="149">
        <v>26.4</v>
      </c>
      <c r="AB292" s="149">
        <v>5.46</v>
      </c>
      <c r="AC292" s="149">
        <v>8570</v>
      </c>
      <c r="AD292" s="149">
        <v>1015</v>
      </c>
      <c r="AE292" s="149">
        <v>10170</v>
      </c>
      <c r="AF292" s="149">
        <v>1629</v>
      </c>
      <c r="AG292" s="149">
        <v>0.877</v>
      </c>
      <c r="AH292" s="149">
        <v>14.1</v>
      </c>
      <c r="AI292" s="149">
        <v>12</v>
      </c>
      <c r="AJ292" s="149">
        <v>2611</v>
      </c>
      <c r="AK292" s="148">
        <v>414</v>
      </c>
    </row>
    <row r="293" spans="1:37">
      <c r="A293" s="150" t="s">
        <v>376</v>
      </c>
      <c r="B293" s="149">
        <v>667</v>
      </c>
      <c r="C293" s="149">
        <v>240.5</v>
      </c>
      <c r="D293" s="149">
        <v>25.9</v>
      </c>
      <c r="E293" s="149">
        <v>47</v>
      </c>
      <c r="F293" s="149">
        <v>20</v>
      </c>
      <c r="G293" s="149">
        <v>533</v>
      </c>
      <c r="H293" s="149">
        <v>261000</v>
      </c>
      <c r="I293" s="149">
        <v>10990</v>
      </c>
      <c r="J293" s="149">
        <v>7826</v>
      </c>
      <c r="K293" s="149">
        <v>914</v>
      </c>
      <c r="L293" s="149">
        <v>9231</v>
      </c>
      <c r="M293" s="149">
        <v>1461</v>
      </c>
      <c r="N293" s="148">
        <v>378</v>
      </c>
      <c r="O293" s="150" t="s">
        <v>376</v>
      </c>
      <c r="P293" s="149">
        <v>296.7</v>
      </c>
      <c r="Q293" s="149">
        <v>667</v>
      </c>
      <c r="R293" s="149">
        <v>240.5</v>
      </c>
      <c r="S293" s="149">
        <v>25.9</v>
      </c>
      <c r="T293" s="149">
        <v>47</v>
      </c>
      <c r="U293" s="149">
        <v>20</v>
      </c>
      <c r="V293" s="149">
        <v>533</v>
      </c>
      <c r="W293" s="149">
        <v>2.56</v>
      </c>
      <c r="X293" s="149">
        <v>20.6</v>
      </c>
      <c r="Y293" s="149">
        <v>261000</v>
      </c>
      <c r="Z293" s="149">
        <v>10990</v>
      </c>
      <c r="AA293" s="149">
        <v>26.3</v>
      </c>
      <c r="AB293" s="149">
        <v>5.39</v>
      </c>
      <c r="AC293" s="149">
        <v>7826</v>
      </c>
      <c r="AD293" s="149">
        <v>914</v>
      </c>
      <c r="AE293" s="149">
        <v>9231</v>
      </c>
      <c r="AF293" s="149">
        <v>1461</v>
      </c>
      <c r="AG293" s="149">
        <v>0.878</v>
      </c>
      <c r="AH293" s="149">
        <v>15.1</v>
      </c>
      <c r="AI293" s="149">
        <v>10.6</v>
      </c>
      <c r="AJ293" s="149">
        <v>2029</v>
      </c>
      <c r="AK293" s="148">
        <v>378</v>
      </c>
    </row>
    <row r="294" spans="1:37">
      <c r="A294" s="150" t="s">
        <v>375</v>
      </c>
      <c r="B294" s="149">
        <v>658.6</v>
      </c>
      <c r="C294" s="149">
        <v>238.5</v>
      </c>
      <c r="D294" s="149">
        <v>23.9</v>
      </c>
      <c r="E294" s="149">
        <v>42.9</v>
      </c>
      <c r="F294" s="149">
        <v>20</v>
      </c>
      <c r="G294" s="149">
        <v>532.79999999999995</v>
      </c>
      <c r="H294" s="149">
        <v>234400</v>
      </c>
      <c r="I294" s="149">
        <v>9775</v>
      </c>
      <c r="J294" s="149">
        <v>7118</v>
      </c>
      <c r="K294" s="149">
        <v>820</v>
      </c>
      <c r="L294" s="149">
        <v>8357</v>
      </c>
      <c r="M294" s="149">
        <v>1308</v>
      </c>
      <c r="N294" s="148">
        <v>345</v>
      </c>
      <c r="O294" s="150" t="s">
        <v>375</v>
      </c>
      <c r="P294" s="149">
        <v>270.8</v>
      </c>
      <c r="Q294" s="149">
        <v>658.6</v>
      </c>
      <c r="R294" s="149">
        <v>238.5</v>
      </c>
      <c r="S294" s="149">
        <v>23.9</v>
      </c>
      <c r="T294" s="149">
        <v>42.9</v>
      </c>
      <c r="U294" s="149">
        <v>20</v>
      </c>
      <c r="V294" s="149">
        <v>532.79999999999995</v>
      </c>
      <c r="W294" s="149">
        <v>2.78</v>
      </c>
      <c r="X294" s="149">
        <v>22.3</v>
      </c>
      <c r="Y294" s="149">
        <v>234400</v>
      </c>
      <c r="Z294" s="149">
        <v>9775</v>
      </c>
      <c r="AA294" s="149">
        <v>26.1</v>
      </c>
      <c r="AB294" s="149">
        <v>5.32</v>
      </c>
      <c r="AC294" s="149">
        <v>7118</v>
      </c>
      <c r="AD294" s="149">
        <v>820</v>
      </c>
      <c r="AE294" s="149">
        <v>8357</v>
      </c>
      <c r="AF294" s="149">
        <v>1308</v>
      </c>
      <c r="AG294" s="149">
        <v>0.878</v>
      </c>
      <c r="AH294" s="149">
        <v>16.399999999999999</v>
      </c>
      <c r="AI294" s="149">
        <v>9.26</v>
      </c>
      <c r="AJ294" s="149">
        <v>1558</v>
      </c>
      <c r="AK294" s="148">
        <v>345</v>
      </c>
    </row>
    <row r="295" spans="1:37">
      <c r="A295" s="150" t="s">
        <v>374</v>
      </c>
      <c r="B295" s="149">
        <v>651</v>
      </c>
      <c r="C295" s="149">
        <v>235.9</v>
      </c>
      <c r="D295" s="149">
        <v>21.6</v>
      </c>
      <c r="E295" s="149">
        <v>39.1</v>
      </c>
      <c r="F295" s="149">
        <v>20</v>
      </c>
      <c r="G295" s="149">
        <v>532.79999999999995</v>
      </c>
      <c r="H295" s="149">
        <v>209500</v>
      </c>
      <c r="I295" s="149">
        <v>8611</v>
      </c>
      <c r="J295" s="149">
        <v>6435</v>
      </c>
      <c r="K295" s="149">
        <v>730</v>
      </c>
      <c r="L295" s="149">
        <v>7513</v>
      </c>
      <c r="M295" s="149">
        <v>1160</v>
      </c>
      <c r="N295" s="148">
        <v>312</v>
      </c>
      <c r="O295" s="150" t="s">
        <v>374</v>
      </c>
      <c r="P295" s="149">
        <v>244.6</v>
      </c>
      <c r="Q295" s="149">
        <v>651</v>
      </c>
      <c r="R295" s="149">
        <v>235.9</v>
      </c>
      <c r="S295" s="149">
        <v>21.6</v>
      </c>
      <c r="T295" s="149">
        <v>39.1</v>
      </c>
      <c r="U295" s="149">
        <v>20</v>
      </c>
      <c r="V295" s="149">
        <v>532.79999999999995</v>
      </c>
      <c r="W295" s="149">
        <v>3.02</v>
      </c>
      <c r="X295" s="149">
        <v>24.7</v>
      </c>
      <c r="Y295" s="149">
        <v>209500</v>
      </c>
      <c r="Z295" s="149">
        <v>8611</v>
      </c>
      <c r="AA295" s="149">
        <v>25.9</v>
      </c>
      <c r="AB295" s="149">
        <v>5.26</v>
      </c>
      <c r="AC295" s="149">
        <v>6435</v>
      </c>
      <c r="AD295" s="149">
        <v>730</v>
      </c>
      <c r="AE295" s="149">
        <v>7513</v>
      </c>
      <c r="AF295" s="149">
        <v>1160</v>
      </c>
      <c r="AG295" s="149">
        <v>0.878</v>
      </c>
      <c r="AH295" s="149">
        <v>17.8</v>
      </c>
      <c r="AI295" s="149">
        <v>8.06</v>
      </c>
      <c r="AJ295" s="149">
        <v>1174</v>
      </c>
      <c r="AK295" s="148">
        <v>312</v>
      </c>
    </row>
    <row r="296" spans="1:37">
      <c r="A296" s="150" t="s">
        <v>373</v>
      </c>
      <c r="B296" s="149">
        <v>643.1</v>
      </c>
      <c r="C296" s="149">
        <v>234.1</v>
      </c>
      <c r="D296" s="149">
        <v>19.600000000000001</v>
      </c>
      <c r="E296" s="149">
        <v>35.1</v>
      </c>
      <c r="F296" s="149">
        <v>20</v>
      </c>
      <c r="G296" s="149">
        <v>532.9</v>
      </c>
      <c r="H296" s="149">
        <v>185500</v>
      </c>
      <c r="I296" s="149">
        <v>7549</v>
      </c>
      <c r="J296" s="149">
        <v>5769</v>
      </c>
      <c r="K296" s="149">
        <v>645</v>
      </c>
      <c r="L296" s="149">
        <v>6701</v>
      </c>
      <c r="M296" s="149">
        <v>1022</v>
      </c>
      <c r="N296" s="148">
        <v>280</v>
      </c>
      <c r="O296" s="150" t="s">
        <v>373</v>
      </c>
      <c r="P296" s="149">
        <v>219.8</v>
      </c>
      <c r="Q296" s="149">
        <v>643.1</v>
      </c>
      <c r="R296" s="149">
        <v>234.1</v>
      </c>
      <c r="S296" s="149">
        <v>19.600000000000001</v>
      </c>
      <c r="T296" s="149">
        <v>35.1</v>
      </c>
      <c r="U296" s="149">
        <v>20</v>
      </c>
      <c r="V296" s="149">
        <v>532.9</v>
      </c>
      <c r="W296" s="149">
        <v>3.33</v>
      </c>
      <c r="X296" s="149">
        <v>27.2</v>
      </c>
      <c r="Y296" s="149">
        <v>185500</v>
      </c>
      <c r="Z296" s="149">
        <v>7549</v>
      </c>
      <c r="AA296" s="149">
        <v>25.7</v>
      </c>
      <c r="AB296" s="149">
        <v>5.19</v>
      </c>
      <c r="AC296" s="149">
        <v>5769</v>
      </c>
      <c r="AD296" s="149">
        <v>645</v>
      </c>
      <c r="AE296" s="149">
        <v>6701</v>
      </c>
      <c r="AF296" s="149">
        <v>1022</v>
      </c>
      <c r="AG296" s="149">
        <v>0.878</v>
      </c>
      <c r="AH296" s="149">
        <v>19.600000000000001</v>
      </c>
      <c r="AI296" s="149">
        <v>6.98</v>
      </c>
      <c r="AJ296" s="149">
        <v>860</v>
      </c>
      <c r="AK296" s="148">
        <v>280</v>
      </c>
    </row>
    <row r="297" spans="1:37">
      <c r="A297" s="150" t="s">
        <v>372</v>
      </c>
      <c r="B297" s="149">
        <v>635</v>
      </c>
      <c r="C297" s="149">
        <v>231.5</v>
      </c>
      <c r="D297" s="149">
        <v>17</v>
      </c>
      <c r="E297" s="149">
        <v>30.9</v>
      </c>
      <c r="F297" s="149">
        <v>20</v>
      </c>
      <c r="G297" s="149">
        <v>533.20000000000005</v>
      </c>
      <c r="H297" s="149">
        <v>160100</v>
      </c>
      <c r="I297" s="149">
        <v>6419</v>
      </c>
      <c r="J297" s="149">
        <v>5041</v>
      </c>
      <c r="K297" s="149">
        <v>555</v>
      </c>
      <c r="L297" s="149">
        <v>5815</v>
      </c>
      <c r="M297" s="149">
        <v>874</v>
      </c>
      <c r="N297" s="148">
        <v>244</v>
      </c>
      <c r="O297" s="150" t="s">
        <v>372</v>
      </c>
      <c r="P297" s="149">
        <v>191.5</v>
      </c>
      <c r="Q297" s="149">
        <v>635</v>
      </c>
      <c r="R297" s="149">
        <v>231.5</v>
      </c>
      <c r="S297" s="149">
        <v>17</v>
      </c>
      <c r="T297" s="149">
        <v>30.9</v>
      </c>
      <c r="U297" s="149">
        <v>20</v>
      </c>
      <c r="V297" s="149">
        <v>533.20000000000005</v>
      </c>
      <c r="W297" s="149">
        <v>3.75</v>
      </c>
      <c r="X297" s="149">
        <v>31.4</v>
      </c>
      <c r="Y297" s="149">
        <v>160100</v>
      </c>
      <c r="Z297" s="149">
        <v>6419</v>
      </c>
      <c r="AA297" s="149">
        <v>25.6</v>
      </c>
      <c r="AB297" s="149">
        <v>5.13</v>
      </c>
      <c r="AC297" s="149">
        <v>5041</v>
      </c>
      <c r="AD297" s="149">
        <v>555</v>
      </c>
      <c r="AE297" s="149">
        <v>5815</v>
      </c>
      <c r="AF297" s="149">
        <v>874</v>
      </c>
      <c r="AG297" s="149">
        <v>0.879</v>
      </c>
      <c r="AH297" s="149">
        <v>22.1</v>
      </c>
      <c r="AI297" s="149">
        <v>5.86</v>
      </c>
      <c r="AJ297" s="149">
        <v>584</v>
      </c>
      <c r="AK297" s="148">
        <v>244</v>
      </c>
    </row>
    <row r="298" spans="1:37">
      <c r="A298" s="150" t="s">
        <v>371</v>
      </c>
      <c r="B298" s="149">
        <v>628.9</v>
      </c>
      <c r="C298" s="149">
        <v>229.9</v>
      </c>
      <c r="D298" s="149">
        <v>15.5</v>
      </c>
      <c r="E298" s="149">
        <v>27.9</v>
      </c>
      <c r="F298" s="149">
        <v>20</v>
      </c>
      <c r="G298" s="149">
        <v>533.1</v>
      </c>
      <c r="H298" s="149">
        <v>143000</v>
      </c>
      <c r="I298" s="149">
        <v>5674</v>
      </c>
      <c r="J298" s="149">
        <v>4547</v>
      </c>
      <c r="K298" s="149">
        <v>494</v>
      </c>
      <c r="L298" s="149">
        <v>5225</v>
      </c>
      <c r="M298" s="149">
        <v>776</v>
      </c>
      <c r="N298" s="148">
        <v>221</v>
      </c>
      <c r="O298" s="150" t="s">
        <v>371</v>
      </c>
      <c r="P298" s="149">
        <v>173.1</v>
      </c>
      <c r="Q298" s="149">
        <v>628.9</v>
      </c>
      <c r="R298" s="149">
        <v>229.9</v>
      </c>
      <c r="S298" s="149">
        <v>15.5</v>
      </c>
      <c r="T298" s="149">
        <v>27.9</v>
      </c>
      <c r="U298" s="149">
        <v>20</v>
      </c>
      <c r="V298" s="149">
        <v>533.1</v>
      </c>
      <c r="W298" s="149">
        <v>4.12</v>
      </c>
      <c r="X298" s="149">
        <v>34.4</v>
      </c>
      <c r="Y298" s="149">
        <v>143000</v>
      </c>
      <c r="Z298" s="149">
        <v>5674</v>
      </c>
      <c r="AA298" s="149">
        <v>25.5</v>
      </c>
      <c r="AB298" s="149">
        <v>5.07</v>
      </c>
      <c r="AC298" s="149">
        <v>4547</v>
      </c>
      <c r="AD298" s="149">
        <v>494</v>
      </c>
      <c r="AE298" s="149">
        <v>5225</v>
      </c>
      <c r="AF298" s="149">
        <v>776</v>
      </c>
      <c r="AG298" s="149">
        <v>0.879</v>
      </c>
      <c r="AH298" s="149">
        <v>24.2</v>
      </c>
      <c r="AI298" s="149">
        <v>5.12</v>
      </c>
      <c r="AJ298" s="149">
        <v>436</v>
      </c>
      <c r="AK298" s="148">
        <v>221</v>
      </c>
    </row>
    <row r="299" spans="1:37">
      <c r="A299" s="150" t="s">
        <v>370</v>
      </c>
      <c r="B299" s="149">
        <v>623.1</v>
      </c>
      <c r="C299" s="149">
        <v>228.6</v>
      </c>
      <c r="D299" s="149">
        <v>14</v>
      </c>
      <c r="E299" s="149">
        <v>24.9</v>
      </c>
      <c r="F299" s="149">
        <v>20</v>
      </c>
      <c r="G299" s="149">
        <v>533.29999999999995</v>
      </c>
      <c r="H299" s="149">
        <v>126600</v>
      </c>
      <c r="I299" s="149">
        <v>4976</v>
      </c>
      <c r="J299" s="149">
        <v>4064</v>
      </c>
      <c r="K299" s="149">
        <v>435</v>
      </c>
      <c r="L299" s="149">
        <v>4652</v>
      </c>
      <c r="M299" s="149">
        <v>683</v>
      </c>
      <c r="N299" s="148">
        <v>198</v>
      </c>
      <c r="O299" s="150" t="s">
        <v>370</v>
      </c>
      <c r="P299" s="149">
        <v>155.1</v>
      </c>
      <c r="Q299" s="149">
        <v>623.1</v>
      </c>
      <c r="R299" s="149">
        <v>228.6</v>
      </c>
      <c r="S299" s="149">
        <v>14</v>
      </c>
      <c r="T299" s="149">
        <v>24.9</v>
      </c>
      <c r="U299" s="149">
        <v>20</v>
      </c>
      <c r="V299" s="149">
        <v>533.29999999999995</v>
      </c>
      <c r="W299" s="149">
        <v>4.59</v>
      </c>
      <c r="X299" s="149">
        <v>38.1</v>
      </c>
      <c r="Y299" s="149">
        <v>126600</v>
      </c>
      <c r="Z299" s="149">
        <v>4976</v>
      </c>
      <c r="AA299" s="149">
        <v>25.3</v>
      </c>
      <c r="AB299" s="149">
        <v>5.0199999999999996</v>
      </c>
      <c r="AC299" s="149">
        <v>4064</v>
      </c>
      <c r="AD299" s="149">
        <v>435</v>
      </c>
      <c r="AE299" s="149">
        <v>4652</v>
      </c>
      <c r="AF299" s="149">
        <v>683</v>
      </c>
      <c r="AG299" s="149">
        <v>0.879</v>
      </c>
      <c r="AH299" s="149">
        <v>26.8</v>
      </c>
      <c r="AI299" s="149">
        <v>4.45</v>
      </c>
      <c r="AJ299" s="149">
        <v>315</v>
      </c>
      <c r="AK299" s="148">
        <v>198</v>
      </c>
    </row>
    <row r="300" spans="1:37">
      <c r="A300" s="150" t="s">
        <v>369</v>
      </c>
      <c r="B300" s="149">
        <v>617.5</v>
      </c>
      <c r="C300" s="149">
        <v>230.3</v>
      </c>
      <c r="D300" s="149">
        <v>13.1</v>
      </c>
      <c r="E300" s="149">
        <v>22.2</v>
      </c>
      <c r="F300" s="149">
        <v>20</v>
      </c>
      <c r="G300" s="149">
        <v>533.1</v>
      </c>
      <c r="H300" s="149">
        <v>113900</v>
      </c>
      <c r="I300" s="149">
        <v>4535</v>
      </c>
      <c r="J300" s="149">
        <v>3690</v>
      </c>
      <c r="K300" s="149">
        <v>394</v>
      </c>
      <c r="L300" s="149">
        <v>4216</v>
      </c>
      <c r="M300" s="149">
        <v>617</v>
      </c>
      <c r="N300" s="148">
        <v>181</v>
      </c>
      <c r="O300" s="150" t="s">
        <v>369</v>
      </c>
      <c r="P300" s="149">
        <v>141.9</v>
      </c>
      <c r="Q300" s="149">
        <v>617.5</v>
      </c>
      <c r="R300" s="149">
        <v>230.3</v>
      </c>
      <c r="S300" s="149">
        <v>13.1</v>
      </c>
      <c r="T300" s="149">
        <v>22.2</v>
      </c>
      <c r="U300" s="149">
        <v>20</v>
      </c>
      <c r="V300" s="149">
        <v>533.1</v>
      </c>
      <c r="W300" s="149">
        <v>5.19</v>
      </c>
      <c r="X300" s="149">
        <v>40.700000000000003</v>
      </c>
      <c r="Y300" s="149">
        <v>113900</v>
      </c>
      <c r="Z300" s="149">
        <v>4535</v>
      </c>
      <c r="AA300" s="149">
        <v>25.1</v>
      </c>
      <c r="AB300" s="149">
        <v>5.01</v>
      </c>
      <c r="AC300" s="149">
        <v>3690</v>
      </c>
      <c r="AD300" s="149">
        <v>394</v>
      </c>
      <c r="AE300" s="149">
        <v>4216</v>
      </c>
      <c r="AF300" s="149">
        <v>617</v>
      </c>
      <c r="AG300" s="149">
        <v>0.876</v>
      </c>
      <c r="AH300" s="149">
        <v>29.5</v>
      </c>
      <c r="AI300" s="149">
        <v>4.0199999999999996</v>
      </c>
      <c r="AJ300" s="149">
        <v>236</v>
      </c>
      <c r="AK300" s="148">
        <v>181</v>
      </c>
    </row>
    <row r="301" spans="1:37">
      <c r="A301" s="150" t="s">
        <v>368</v>
      </c>
      <c r="B301" s="149">
        <v>612.1</v>
      </c>
      <c r="C301" s="149">
        <v>229.1</v>
      </c>
      <c r="D301" s="149">
        <v>11.9</v>
      </c>
      <c r="E301" s="149">
        <v>19.600000000000001</v>
      </c>
      <c r="F301" s="149">
        <v>20</v>
      </c>
      <c r="G301" s="149">
        <v>532.9</v>
      </c>
      <c r="H301" s="149">
        <v>100200</v>
      </c>
      <c r="I301" s="149">
        <v>3940</v>
      </c>
      <c r="J301" s="149">
        <v>3275</v>
      </c>
      <c r="K301" s="149">
        <v>344</v>
      </c>
      <c r="L301" s="149">
        <v>3734</v>
      </c>
      <c r="M301" s="149">
        <v>538</v>
      </c>
      <c r="N301" s="148">
        <v>161</v>
      </c>
      <c r="O301" s="150" t="s">
        <v>368</v>
      </c>
      <c r="P301" s="149">
        <v>126.7</v>
      </c>
      <c r="Q301" s="149">
        <v>612.1</v>
      </c>
      <c r="R301" s="149">
        <v>229.1</v>
      </c>
      <c r="S301" s="149">
        <v>11.9</v>
      </c>
      <c r="T301" s="149">
        <v>19.600000000000001</v>
      </c>
      <c r="U301" s="149">
        <v>20</v>
      </c>
      <c r="V301" s="149">
        <v>532.9</v>
      </c>
      <c r="W301" s="149">
        <v>5.84</v>
      </c>
      <c r="X301" s="149">
        <v>44.8</v>
      </c>
      <c r="Y301" s="149">
        <v>100200</v>
      </c>
      <c r="Z301" s="149">
        <v>3940</v>
      </c>
      <c r="AA301" s="149">
        <v>24.9</v>
      </c>
      <c r="AB301" s="149">
        <v>4.9400000000000004</v>
      </c>
      <c r="AC301" s="149">
        <v>3275</v>
      </c>
      <c r="AD301" s="149">
        <v>344</v>
      </c>
      <c r="AE301" s="149">
        <v>3734</v>
      </c>
      <c r="AF301" s="149">
        <v>538</v>
      </c>
      <c r="AG301" s="149">
        <v>0.875</v>
      </c>
      <c r="AH301" s="149">
        <v>32.799999999999997</v>
      </c>
      <c r="AI301" s="149">
        <v>3.46</v>
      </c>
      <c r="AJ301" s="149">
        <v>168</v>
      </c>
      <c r="AK301" s="148">
        <v>161</v>
      </c>
    </row>
    <row r="302" spans="1:37">
      <c r="A302" s="150" t="s">
        <v>367</v>
      </c>
      <c r="B302" s="149">
        <v>607.6</v>
      </c>
      <c r="C302" s="149">
        <v>228.3</v>
      </c>
      <c r="D302" s="149">
        <v>11.2</v>
      </c>
      <c r="E302" s="149">
        <v>17.3</v>
      </c>
      <c r="F302" s="149">
        <v>20</v>
      </c>
      <c r="G302" s="149">
        <v>533</v>
      </c>
      <c r="H302" s="149">
        <v>89120</v>
      </c>
      <c r="I302" s="149">
        <v>3442</v>
      </c>
      <c r="J302" s="149">
        <v>2934</v>
      </c>
      <c r="K302" s="149">
        <v>301</v>
      </c>
      <c r="L302" s="149">
        <v>3348</v>
      </c>
      <c r="M302" s="149">
        <v>472</v>
      </c>
      <c r="N302" s="148">
        <v>147</v>
      </c>
      <c r="O302" s="150" t="s">
        <v>367</v>
      </c>
      <c r="P302" s="149">
        <v>115.1</v>
      </c>
      <c r="Q302" s="149">
        <v>607.6</v>
      </c>
      <c r="R302" s="149">
        <v>228.3</v>
      </c>
      <c r="S302" s="149">
        <v>11.2</v>
      </c>
      <c r="T302" s="149">
        <v>17.3</v>
      </c>
      <c r="U302" s="149">
        <v>20</v>
      </c>
      <c r="V302" s="149">
        <v>533</v>
      </c>
      <c r="W302" s="149">
        <v>6.6</v>
      </c>
      <c r="X302" s="149">
        <v>47.6</v>
      </c>
      <c r="Y302" s="149">
        <v>89120</v>
      </c>
      <c r="Z302" s="149">
        <v>3442</v>
      </c>
      <c r="AA302" s="149">
        <v>24.7</v>
      </c>
      <c r="AB302" s="149">
        <v>4.8499999999999996</v>
      </c>
      <c r="AC302" s="149">
        <v>2934</v>
      </c>
      <c r="AD302" s="149">
        <v>301</v>
      </c>
      <c r="AE302" s="149">
        <v>3348</v>
      </c>
      <c r="AF302" s="149">
        <v>472</v>
      </c>
      <c r="AG302" s="149">
        <v>0.871</v>
      </c>
      <c r="AH302" s="149">
        <v>36.299999999999997</v>
      </c>
      <c r="AI302" s="149">
        <v>3</v>
      </c>
      <c r="AJ302" s="149">
        <v>124</v>
      </c>
      <c r="AK302" s="148">
        <v>147</v>
      </c>
    </row>
    <row r="303" spans="1:37">
      <c r="A303" s="150" t="s">
        <v>366</v>
      </c>
      <c r="B303" s="149">
        <v>602.70000000000005</v>
      </c>
      <c r="C303" s="149">
        <v>227.7</v>
      </c>
      <c r="D303" s="149">
        <v>10.5</v>
      </c>
      <c r="E303" s="149">
        <v>14.9</v>
      </c>
      <c r="F303" s="149">
        <v>20</v>
      </c>
      <c r="G303" s="149">
        <v>532.9</v>
      </c>
      <c r="H303" s="149">
        <v>77810</v>
      </c>
      <c r="I303" s="149">
        <v>2941</v>
      </c>
      <c r="J303" s="149">
        <v>2582</v>
      </c>
      <c r="K303" s="149">
        <v>258</v>
      </c>
      <c r="L303" s="149">
        <v>2953</v>
      </c>
      <c r="M303" s="149">
        <v>405</v>
      </c>
      <c r="N303" s="148">
        <v>131</v>
      </c>
      <c r="O303" s="150" t="s">
        <v>366</v>
      </c>
      <c r="P303" s="149">
        <v>103.2</v>
      </c>
      <c r="Q303" s="149">
        <v>602.70000000000005</v>
      </c>
      <c r="R303" s="149">
        <v>227.7</v>
      </c>
      <c r="S303" s="149">
        <v>10.5</v>
      </c>
      <c r="T303" s="149">
        <v>14.9</v>
      </c>
      <c r="U303" s="149">
        <v>20</v>
      </c>
      <c r="V303" s="149">
        <v>532.9</v>
      </c>
      <c r="W303" s="149">
        <v>7.64</v>
      </c>
      <c r="X303" s="149">
        <v>50.8</v>
      </c>
      <c r="Y303" s="149">
        <v>77810</v>
      </c>
      <c r="Z303" s="149">
        <v>2941</v>
      </c>
      <c r="AA303" s="149">
        <v>24.3</v>
      </c>
      <c r="AB303" s="149">
        <v>4.7300000000000004</v>
      </c>
      <c r="AC303" s="149">
        <v>2582</v>
      </c>
      <c r="AD303" s="149">
        <v>258</v>
      </c>
      <c r="AE303" s="149">
        <v>2953</v>
      </c>
      <c r="AF303" s="149">
        <v>405</v>
      </c>
      <c r="AG303" s="149">
        <v>0.86599999999999999</v>
      </c>
      <c r="AH303" s="149">
        <v>40.700000000000003</v>
      </c>
      <c r="AI303" s="149">
        <v>2.54</v>
      </c>
      <c r="AJ303" s="149">
        <v>87.8</v>
      </c>
      <c r="AK303" s="148">
        <v>131</v>
      </c>
    </row>
    <row r="304" spans="1:37">
      <c r="A304" s="150" t="s">
        <v>365</v>
      </c>
      <c r="B304" s="149">
        <v>603</v>
      </c>
      <c r="C304" s="149">
        <v>178.8</v>
      </c>
      <c r="D304" s="149">
        <v>10.9</v>
      </c>
      <c r="E304" s="149">
        <v>15</v>
      </c>
      <c r="F304" s="149">
        <v>20</v>
      </c>
      <c r="G304" s="149">
        <v>533</v>
      </c>
      <c r="H304" s="149">
        <v>66190</v>
      </c>
      <c r="I304" s="149">
        <v>1439</v>
      </c>
      <c r="J304" s="149">
        <v>2196</v>
      </c>
      <c r="K304" s="149">
        <v>161</v>
      </c>
      <c r="L304" s="149">
        <v>2569</v>
      </c>
      <c r="M304" s="149">
        <v>260</v>
      </c>
      <c r="N304" s="148">
        <v>120</v>
      </c>
      <c r="O304" s="150" t="s">
        <v>365</v>
      </c>
      <c r="P304" s="149">
        <v>93.8</v>
      </c>
      <c r="Q304" s="149">
        <v>603</v>
      </c>
      <c r="R304" s="149">
        <v>178.8</v>
      </c>
      <c r="S304" s="149">
        <v>10.9</v>
      </c>
      <c r="T304" s="149">
        <v>15</v>
      </c>
      <c r="U304" s="149">
        <v>20</v>
      </c>
      <c r="V304" s="149">
        <v>533</v>
      </c>
      <c r="W304" s="149">
        <v>5.96</v>
      </c>
      <c r="X304" s="149">
        <v>48.9</v>
      </c>
      <c r="Y304" s="149">
        <v>66190</v>
      </c>
      <c r="Z304" s="149">
        <v>1439</v>
      </c>
      <c r="AA304" s="149">
        <v>23.5</v>
      </c>
      <c r="AB304" s="149">
        <v>3.47</v>
      </c>
      <c r="AC304" s="149">
        <v>2196</v>
      </c>
      <c r="AD304" s="149">
        <v>161</v>
      </c>
      <c r="AE304" s="149">
        <v>2569</v>
      </c>
      <c r="AF304" s="149">
        <v>260</v>
      </c>
      <c r="AG304" s="149">
        <v>0.85</v>
      </c>
      <c r="AH304" s="149">
        <v>40.4</v>
      </c>
      <c r="AI304" s="149">
        <v>1.24</v>
      </c>
      <c r="AJ304" s="149">
        <v>81</v>
      </c>
      <c r="AK304" s="148">
        <v>120</v>
      </c>
    </row>
    <row r="305" spans="1:37">
      <c r="A305" s="147" t="s">
        <v>364</v>
      </c>
      <c r="B305" s="146">
        <v>598.70000000000005</v>
      </c>
      <c r="C305" s="146">
        <v>177.9</v>
      </c>
      <c r="D305" s="146">
        <v>10</v>
      </c>
      <c r="E305" s="146">
        <v>12.8</v>
      </c>
      <c r="F305" s="146">
        <v>20</v>
      </c>
      <c r="G305" s="146">
        <v>533.1</v>
      </c>
      <c r="H305" s="146">
        <v>57510</v>
      </c>
      <c r="I305" s="146">
        <v>1209</v>
      </c>
      <c r="J305" s="146">
        <v>1921</v>
      </c>
      <c r="K305" s="146">
        <v>136</v>
      </c>
      <c r="L305" s="146">
        <v>2252</v>
      </c>
      <c r="M305" s="146">
        <v>220</v>
      </c>
      <c r="N305" s="145">
        <v>106</v>
      </c>
      <c r="O305" s="147" t="s">
        <v>364</v>
      </c>
      <c r="P305" s="146">
        <v>83.4</v>
      </c>
      <c r="Q305" s="146">
        <v>598.70000000000005</v>
      </c>
      <c r="R305" s="146">
        <v>177.9</v>
      </c>
      <c r="S305" s="146">
        <v>10</v>
      </c>
      <c r="T305" s="146">
        <v>12.8</v>
      </c>
      <c r="U305" s="146">
        <v>20</v>
      </c>
      <c r="V305" s="146">
        <v>533.1</v>
      </c>
      <c r="W305" s="146">
        <v>6.95</v>
      </c>
      <c r="X305" s="146">
        <v>53.3</v>
      </c>
      <c r="Y305" s="146">
        <v>57510</v>
      </c>
      <c r="Z305" s="146">
        <v>1209</v>
      </c>
      <c r="AA305" s="146">
        <v>23.3</v>
      </c>
      <c r="AB305" s="146">
        <v>3.37</v>
      </c>
      <c r="AC305" s="146">
        <v>1921</v>
      </c>
      <c r="AD305" s="146">
        <v>136</v>
      </c>
      <c r="AE305" s="146">
        <v>2252</v>
      </c>
      <c r="AF305" s="146">
        <v>220</v>
      </c>
      <c r="AG305" s="146">
        <v>0.84599999999999997</v>
      </c>
      <c r="AH305" s="146">
        <v>45.3</v>
      </c>
      <c r="AI305" s="146">
        <v>1.04</v>
      </c>
      <c r="AJ305" s="146">
        <v>57</v>
      </c>
      <c r="AK305" s="145">
        <v>106</v>
      </c>
    </row>
    <row r="306" spans="1:37" ht="15.6">
      <c r="A306" s="150" t="s">
        <v>363</v>
      </c>
      <c r="B306" s="149">
        <v>613</v>
      </c>
      <c r="C306" s="149">
        <v>327</v>
      </c>
      <c r="D306" s="149">
        <v>31</v>
      </c>
      <c r="E306" s="149">
        <v>55.6</v>
      </c>
      <c r="F306" s="149">
        <v>12.7</v>
      </c>
      <c r="G306" s="149">
        <v>476.4</v>
      </c>
      <c r="H306" s="149">
        <v>316900</v>
      </c>
      <c r="I306" s="149">
        <v>32530</v>
      </c>
      <c r="J306" s="149">
        <v>10340</v>
      </c>
      <c r="K306" s="149">
        <v>1990</v>
      </c>
      <c r="L306" s="149">
        <v>12120</v>
      </c>
      <c r="M306" s="149">
        <v>3096</v>
      </c>
      <c r="N306" s="148">
        <v>521</v>
      </c>
      <c r="O306" s="150" t="s">
        <v>363</v>
      </c>
      <c r="P306" s="149">
        <v>408.6</v>
      </c>
      <c r="Q306" s="149">
        <v>613</v>
      </c>
      <c r="R306" s="149">
        <v>327</v>
      </c>
      <c r="S306" s="149">
        <v>31</v>
      </c>
      <c r="T306" s="149">
        <v>55.6</v>
      </c>
      <c r="U306" s="149">
        <v>12.7</v>
      </c>
      <c r="V306" s="149">
        <v>476.4</v>
      </c>
      <c r="W306" s="149">
        <v>2.94</v>
      </c>
      <c r="X306" s="149">
        <v>15.4</v>
      </c>
      <c r="Y306" s="149">
        <v>316900</v>
      </c>
      <c r="Z306" s="149">
        <v>32530</v>
      </c>
      <c r="AA306" s="149">
        <v>24.7</v>
      </c>
      <c r="AB306" s="149">
        <v>7.91</v>
      </c>
      <c r="AC306" s="149">
        <v>10340</v>
      </c>
      <c r="AD306" s="149">
        <v>1990</v>
      </c>
      <c r="AE306" s="149">
        <v>12120</v>
      </c>
      <c r="AF306" s="149">
        <v>3096</v>
      </c>
      <c r="AG306" s="149">
        <v>0.89</v>
      </c>
      <c r="AH306" s="149">
        <v>11.2</v>
      </c>
      <c r="AI306" s="149">
        <v>25.3</v>
      </c>
      <c r="AJ306" s="149">
        <v>4131</v>
      </c>
      <c r="AK306" s="148">
        <v>521</v>
      </c>
    </row>
    <row r="307" spans="1:37" ht="15.6">
      <c r="A307" s="150" t="s">
        <v>362</v>
      </c>
      <c r="B307" s="149">
        <v>603</v>
      </c>
      <c r="C307" s="149">
        <v>324</v>
      </c>
      <c r="D307" s="149">
        <v>26.2</v>
      </c>
      <c r="E307" s="149">
        <v>50.5</v>
      </c>
      <c r="F307" s="149">
        <v>12.7</v>
      </c>
      <c r="G307" s="149">
        <v>476.6</v>
      </c>
      <c r="H307" s="149">
        <v>278900</v>
      </c>
      <c r="I307" s="149">
        <v>28710</v>
      </c>
      <c r="J307" s="149">
        <v>9250</v>
      </c>
      <c r="K307" s="149">
        <v>1772</v>
      </c>
      <c r="L307" s="149">
        <v>10720</v>
      </c>
      <c r="M307" s="149">
        <v>2739</v>
      </c>
      <c r="N307" s="148">
        <v>460</v>
      </c>
      <c r="O307" s="150" t="s">
        <v>362</v>
      </c>
      <c r="P307" s="149">
        <v>361.2</v>
      </c>
      <c r="Q307" s="149">
        <v>603</v>
      </c>
      <c r="R307" s="149">
        <v>324</v>
      </c>
      <c r="S307" s="149">
        <v>26.2</v>
      </c>
      <c r="T307" s="149">
        <v>50.5</v>
      </c>
      <c r="U307" s="149">
        <v>12.7</v>
      </c>
      <c r="V307" s="149">
        <v>476.6</v>
      </c>
      <c r="W307" s="149">
        <v>3.21</v>
      </c>
      <c r="X307" s="149">
        <v>18.2</v>
      </c>
      <c r="Y307" s="149">
        <v>278900</v>
      </c>
      <c r="Z307" s="149">
        <v>28710</v>
      </c>
      <c r="AA307" s="149">
        <v>24.6</v>
      </c>
      <c r="AB307" s="149">
        <v>7.9</v>
      </c>
      <c r="AC307" s="149">
        <v>9250</v>
      </c>
      <c r="AD307" s="149">
        <v>1772</v>
      </c>
      <c r="AE307" s="149">
        <v>10720</v>
      </c>
      <c r="AF307" s="149">
        <v>2739</v>
      </c>
      <c r="AG307" s="149">
        <v>0.89400000000000002</v>
      </c>
      <c r="AH307" s="149">
        <v>12.3</v>
      </c>
      <c r="AI307" s="149">
        <v>21.9</v>
      </c>
      <c r="AJ307" s="149">
        <v>2996</v>
      </c>
      <c r="AK307" s="148">
        <v>460</v>
      </c>
    </row>
    <row r="308" spans="1:37" ht="15.6">
      <c r="A308" s="150" t="s">
        <v>361</v>
      </c>
      <c r="B308" s="149">
        <v>593</v>
      </c>
      <c r="C308" s="149">
        <v>322</v>
      </c>
      <c r="D308" s="149">
        <v>25.4</v>
      </c>
      <c r="E308" s="149">
        <v>45.5</v>
      </c>
      <c r="F308" s="149">
        <v>12.7</v>
      </c>
      <c r="G308" s="149">
        <v>476.6</v>
      </c>
      <c r="H308" s="149">
        <v>247700</v>
      </c>
      <c r="I308" s="149">
        <v>25390</v>
      </c>
      <c r="J308" s="149">
        <v>8355</v>
      </c>
      <c r="K308" s="149">
        <v>1577</v>
      </c>
      <c r="L308" s="149">
        <v>9656</v>
      </c>
      <c r="M308" s="149">
        <v>2442</v>
      </c>
      <c r="N308" s="148">
        <v>422</v>
      </c>
      <c r="O308" s="150" t="s">
        <v>361</v>
      </c>
      <c r="P308" s="149">
        <v>331.2</v>
      </c>
      <c r="Q308" s="149">
        <v>593</v>
      </c>
      <c r="R308" s="149">
        <v>322</v>
      </c>
      <c r="S308" s="149">
        <v>25.4</v>
      </c>
      <c r="T308" s="149">
        <v>45.5</v>
      </c>
      <c r="U308" s="149">
        <v>12.7</v>
      </c>
      <c r="V308" s="149">
        <v>476.6</v>
      </c>
      <c r="W308" s="149">
        <v>3.54</v>
      </c>
      <c r="X308" s="149">
        <v>18.8</v>
      </c>
      <c r="Y308" s="149">
        <v>247700</v>
      </c>
      <c r="Z308" s="149">
        <v>25390</v>
      </c>
      <c r="AA308" s="149">
        <v>24.2</v>
      </c>
      <c r="AB308" s="149">
        <v>7.76</v>
      </c>
      <c r="AC308" s="149">
        <v>8355</v>
      </c>
      <c r="AD308" s="149">
        <v>1577</v>
      </c>
      <c r="AE308" s="149">
        <v>9656</v>
      </c>
      <c r="AF308" s="149">
        <v>2442</v>
      </c>
      <c r="AG308" s="149">
        <v>0.89</v>
      </c>
      <c r="AH308" s="149">
        <v>13.4</v>
      </c>
      <c r="AI308" s="149">
        <v>19</v>
      </c>
      <c r="AJ308" s="149">
        <v>2263</v>
      </c>
      <c r="AK308" s="148">
        <v>422</v>
      </c>
    </row>
    <row r="309" spans="1:37" ht="15.6">
      <c r="A309" s="150" t="s">
        <v>360</v>
      </c>
      <c r="B309" s="149">
        <v>585</v>
      </c>
      <c r="C309" s="149">
        <v>319</v>
      </c>
      <c r="D309" s="149">
        <v>23.1</v>
      </c>
      <c r="E309" s="149">
        <v>41.4</v>
      </c>
      <c r="F309" s="149">
        <v>12.7</v>
      </c>
      <c r="G309" s="149">
        <v>476.8</v>
      </c>
      <c r="H309" s="149">
        <v>220700</v>
      </c>
      <c r="I309" s="149">
        <v>22450</v>
      </c>
      <c r="J309" s="149">
        <v>7547</v>
      </c>
      <c r="K309" s="149">
        <v>1408</v>
      </c>
      <c r="L309" s="149">
        <v>8670</v>
      </c>
      <c r="M309" s="149">
        <v>2175</v>
      </c>
      <c r="N309" s="148">
        <v>382</v>
      </c>
      <c r="O309" s="150" t="s">
        <v>360</v>
      </c>
      <c r="P309" s="149">
        <v>299.5</v>
      </c>
      <c r="Q309" s="149">
        <v>585</v>
      </c>
      <c r="R309" s="149">
        <v>319</v>
      </c>
      <c r="S309" s="149">
        <v>23.1</v>
      </c>
      <c r="T309" s="149">
        <v>41.4</v>
      </c>
      <c r="U309" s="149">
        <v>12.7</v>
      </c>
      <c r="V309" s="149">
        <v>476.8</v>
      </c>
      <c r="W309" s="149">
        <v>3.85</v>
      </c>
      <c r="X309" s="149">
        <v>20.6</v>
      </c>
      <c r="Y309" s="149">
        <v>220700</v>
      </c>
      <c r="Z309" s="149">
        <v>22450</v>
      </c>
      <c r="AA309" s="149">
        <v>24.1</v>
      </c>
      <c r="AB309" s="149">
        <v>7.67</v>
      </c>
      <c r="AC309" s="149">
        <v>7547</v>
      </c>
      <c r="AD309" s="149">
        <v>1408</v>
      </c>
      <c r="AE309" s="149">
        <v>8670</v>
      </c>
      <c r="AF309" s="149">
        <v>2175</v>
      </c>
      <c r="AG309" s="149">
        <v>0.89</v>
      </c>
      <c r="AH309" s="149">
        <v>14.6</v>
      </c>
      <c r="AI309" s="149">
        <v>16.600000000000001</v>
      </c>
      <c r="AJ309" s="149">
        <v>1700</v>
      </c>
      <c r="AK309" s="148">
        <v>382</v>
      </c>
    </row>
    <row r="310" spans="1:37" ht="15.6">
      <c r="A310" s="150" t="s">
        <v>359</v>
      </c>
      <c r="B310" s="149">
        <v>577</v>
      </c>
      <c r="C310" s="149">
        <v>317</v>
      </c>
      <c r="D310" s="149">
        <v>21.1</v>
      </c>
      <c r="E310" s="149">
        <v>37.6</v>
      </c>
      <c r="F310" s="149">
        <v>12.7</v>
      </c>
      <c r="G310" s="149">
        <v>476.4</v>
      </c>
      <c r="H310" s="149">
        <v>196700</v>
      </c>
      <c r="I310" s="149">
        <v>20000</v>
      </c>
      <c r="J310" s="149">
        <v>6820</v>
      </c>
      <c r="K310" s="149">
        <v>1262</v>
      </c>
      <c r="L310" s="149">
        <v>7792</v>
      </c>
      <c r="M310" s="149">
        <v>1947</v>
      </c>
      <c r="N310" s="148">
        <v>346</v>
      </c>
      <c r="O310" s="150" t="s">
        <v>359</v>
      </c>
      <c r="P310" s="149">
        <v>271.3</v>
      </c>
      <c r="Q310" s="149">
        <v>577</v>
      </c>
      <c r="R310" s="149">
        <v>317</v>
      </c>
      <c r="S310" s="149">
        <v>21.1</v>
      </c>
      <c r="T310" s="149">
        <v>37.6</v>
      </c>
      <c r="U310" s="149">
        <v>12.7</v>
      </c>
      <c r="V310" s="149">
        <v>476.4</v>
      </c>
      <c r="W310" s="149">
        <v>4.22</v>
      </c>
      <c r="X310" s="149">
        <v>22.6</v>
      </c>
      <c r="Y310" s="149">
        <v>196700</v>
      </c>
      <c r="Z310" s="149">
        <v>20000</v>
      </c>
      <c r="AA310" s="149">
        <v>23.9</v>
      </c>
      <c r="AB310" s="149">
        <v>7.61</v>
      </c>
      <c r="AC310" s="149">
        <v>6820</v>
      </c>
      <c r="AD310" s="149">
        <v>1262</v>
      </c>
      <c r="AE310" s="149">
        <v>7792</v>
      </c>
      <c r="AF310" s="149">
        <v>1947</v>
      </c>
      <c r="AG310" s="149">
        <v>0.89</v>
      </c>
      <c r="AH310" s="149">
        <v>15.9</v>
      </c>
      <c r="AI310" s="149">
        <v>14.6</v>
      </c>
      <c r="AJ310" s="149">
        <v>1277</v>
      </c>
      <c r="AK310" s="148">
        <v>346</v>
      </c>
    </row>
    <row r="311" spans="1:37" ht="15.6">
      <c r="A311" s="150" t="s">
        <v>358</v>
      </c>
      <c r="B311" s="149">
        <v>571</v>
      </c>
      <c r="C311" s="149">
        <v>315.5</v>
      </c>
      <c r="D311" s="149">
        <v>19</v>
      </c>
      <c r="E311" s="149">
        <v>34.5</v>
      </c>
      <c r="F311" s="149">
        <v>12.7</v>
      </c>
      <c r="G311" s="149">
        <v>476.6</v>
      </c>
      <c r="H311" s="149">
        <v>177700</v>
      </c>
      <c r="I311" s="149">
        <v>18090</v>
      </c>
      <c r="J311" s="149">
        <v>6226</v>
      </c>
      <c r="K311" s="149">
        <v>1147</v>
      </c>
      <c r="L311" s="149">
        <v>7071</v>
      </c>
      <c r="M311" s="149">
        <v>1764</v>
      </c>
      <c r="N311" s="148">
        <v>314</v>
      </c>
      <c r="O311" s="150" t="s">
        <v>358</v>
      </c>
      <c r="P311" s="149">
        <v>246.9</v>
      </c>
      <c r="Q311" s="149">
        <v>571</v>
      </c>
      <c r="R311" s="149">
        <v>315.5</v>
      </c>
      <c r="S311" s="149">
        <v>19</v>
      </c>
      <c r="T311" s="149">
        <v>34.5</v>
      </c>
      <c r="U311" s="149">
        <v>12.7</v>
      </c>
      <c r="V311" s="149">
        <v>476.6</v>
      </c>
      <c r="W311" s="149">
        <v>4.57</v>
      </c>
      <c r="X311" s="149">
        <v>25.1</v>
      </c>
      <c r="Y311" s="149">
        <v>177700</v>
      </c>
      <c r="Z311" s="149">
        <v>18090</v>
      </c>
      <c r="AA311" s="149">
        <v>23.8</v>
      </c>
      <c r="AB311" s="149">
        <v>7.58</v>
      </c>
      <c r="AC311" s="149">
        <v>6226</v>
      </c>
      <c r="AD311" s="149">
        <v>1147</v>
      </c>
      <c r="AE311" s="149">
        <v>7071</v>
      </c>
      <c r="AF311" s="149">
        <v>1764</v>
      </c>
      <c r="AG311" s="149">
        <v>0.89100000000000001</v>
      </c>
      <c r="AH311" s="149">
        <v>17.2</v>
      </c>
      <c r="AI311" s="149">
        <v>13</v>
      </c>
      <c r="AJ311" s="149">
        <v>979</v>
      </c>
      <c r="AK311" s="148">
        <v>314</v>
      </c>
    </row>
    <row r="312" spans="1:37" ht="15.6">
      <c r="A312" s="150" t="s">
        <v>357</v>
      </c>
      <c r="B312" s="149">
        <v>560.29999999999995</v>
      </c>
      <c r="C312" s="149">
        <v>317.8</v>
      </c>
      <c r="D312" s="149">
        <v>18.3</v>
      </c>
      <c r="E312" s="149">
        <v>29.2</v>
      </c>
      <c r="F312" s="149">
        <v>12.7</v>
      </c>
      <c r="G312" s="149">
        <v>476.5</v>
      </c>
      <c r="H312" s="149">
        <v>151100</v>
      </c>
      <c r="I312" s="149">
        <v>15650</v>
      </c>
      <c r="J312" s="149">
        <v>5395</v>
      </c>
      <c r="K312" s="149">
        <v>985</v>
      </c>
      <c r="L312" s="149">
        <v>6115</v>
      </c>
      <c r="M312" s="149">
        <v>1518</v>
      </c>
      <c r="N312" s="148">
        <v>279</v>
      </c>
      <c r="O312" s="150" t="s">
        <v>357</v>
      </c>
      <c r="P312" s="149">
        <v>218.9</v>
      </c>
      <c r="Q312" s="149">
        <v>560.29999999999995</v>
      </c>
      <c r="R312" s="149">
        <v>317.8</v>
      </c>
      <c r="S312" s="149">
        <v>18.3</v>
      </c>
      <c r="T312" s="149">
        <v>29.2</v>
      </c>
      <c r="U312" s="149">
        <v>12.7</v>
      </c>
      <c r="V312" s="149">
        <v>476.5</v>
      </c>
      <c r="W312" s="149">
        <v>5.44</v>
      </c>
      <c r="X312" s="149">
        <v>26</v>
      </c>
      <c r="Y312" s="149">
        <v>151100</v>
      </c>
      <c r="Z312" s="149">
        <v>15650</v>
      </c>
      <c r="AA312" s="149">
        <v>23.3</v>
      </c>
      <c r="AB312" s="149">
        <v>7.49</v>
      </c>
      <c r="AC312" s="149">
        <v>5395</v>
      </c>
      <c r="AD312" s="149">
        <v>985</v>
      </c>
      <c r="AE312" s="149">
        <v>6115</v>
      </c>
      <c r="AF312" s="149">
        <v>1518</v>
      </c>
      <c r="AG312" s="149">
        <v>0.88400000000000001</v>
      </c>
      <c r="AH312" s="149">
        <v>19.8</v>
      </c>
      <c r="AI312" s="149">
        <v>11</v>
      </c>
      <c r="AJ312" s="149">
        <v>642</v>
      </c>
      <c r="AK312" s="148">
        <v>279</v>
      </c>
    </row>
    <row r="313" spans="1:37" ht="15.6">
      <c r="A313" s="150" t="s">
        <v>356</v>
      </c>
      <c r="B313" s="149">
        <v>554.5</v>
      </c>
      <c r="C313" s="149">
        <v>316</v>
      </c>
      <c r="D313" s="149">
        <v>16.5</v>
      </c>
      <c r="E313" s="149">
        <v>26.3</v>
      </c>
      <c r="F313" s="149">
        <v>12.7</v>
      </c>
      <c r="G313" s="149">
        <v>476.5</v>
      </c>
      <c r="H313" s="149">
        <v>134300</v>
      </c>
      <c r="I313" s="149">
        <v>13850</v>
      </c>
      <c r="J313" s="149">
        <v>4843</v>
      </c>
      <c r="K313" s="149">
        <v>877</v>
      </c>
      <c r="L313" s="149">
        <v>5463</v>
      </c>
      <c r="M313" s="149">
        <v>1349</v>
      </c>
      <c r="N313" s="148">
        <v>250</v>
      </c>
      <c r="O313" s="150" t="s">
        <v>356</v>
      </c>
      <c r="P313" s="149">
        <v>196.6</v>
      </c>
      <c r="Q313" s="149">
        <v>554.5</v>
      </c>
      <c r="R313" s="149">
        <v>316</v>
      </c>
      <c r="S313" s="149">
        <v>16.5</v>
      </c>
      <c r="T313" s="149">
        <v>26.3</v>
      </c>
      <c r="U313" s="149">
        <v>12.7</v>
      </c>
      <c r="V313" s="149">
        <v>476.5</v>
      </c>
      <c r="W313" s="149">
        <v>6.01</v>
      </c>
      <c r="X313" s="149">
        <v>28.9</v>
      </c>
      <c r="Y313" s="149">
        <v>134300</v>
      </c>
      <c r="Z313" s="149">
        <v>13850</v>
      </c>
      <c r="AA313" s="149">
        <v>23.2</v>
      </c>
      <c r="AB313" s="149">
        <v>7.44</v>
      </c>
      <c r="AC313" s="149">
        <v>4843</v>
      </c>
      <c r="AD313" s="149">
        <v>877</v>
      </c>
      <c r="AE313" s="149">
        <v>5463</v>
      </c>
      <c r="AF313" s="149">
        <v>1349</v>
      </c>
      <c r="AG313" s="149">
        <v>0.88400000000000001</v>
      </c>
      <c r="AH313" s="149">
        <v>21.8</v>
      </c>
      <c r="AI313" s="149">
        <v>9.66</v>
      </c>
      <c r="AJ313" s="149">
        <v>470</v>
      </c>
      <c r="AK313" s="148">
        <v>250</v>
      </c>
    </row>
    <row r="314" spans="1:37" ht="15.6">
      <c r="A314" s="150" t="s">
        <v>355</v>
      </c>
      <c r="B314" s="149">
        <v>550.70000000000005</v>
      </c>
      <c r="C314" s="149">
        <v>314.7</v>
      </c>
      <c r="D314" s="149">
        <v>15.2</v>
      </c>
      <c r="E314" s="149">
        <v>24.4</v>
      </c>
      <c r="F314" s="149">
        <v>12.7</v>
      </c>
      <c r="G314" s="149">
        <v>476.5</v>
      </c>
      <c r="H314" s="149">
        <v>123300</v>
      </c>
      <c r="I314" s="149">
        <v>12690</v>
      </c>
      <c r="J314" s="149">
        <v>4478</v>
      </c>
      <c r="K314" s="149">
        <v>807</v>
      </c>
      <c r="L314" s="149">
        <v>5033</v>
      </c>
      <c r="M314" s="149">
        <v>1239</v>
      </c>
      <c r="N314" s="148">
        <v>231</v>
      </c>
      <c r="O314" s="150" t="s">
        <v>355</v>
      </c>
      <c r="P314" s="149">
        <v>181.5</v>
      </c>
      <c r="Q314" s="149">
        <v>550.70000000000005</v>
      </c>
      <c r="R314" s="149">
        <v>314.7</v>
      </c>
      <c r="S314" s="149">
        <v>15.2</v>
      </c>
      <c r="T314" s="149">
        <v>24.4</v>
      </c>
      <c r="U314" s="149">
        <v>12.7</v>
      </c>
      <c r="V314" s="149">
        <v>476.5</v>
      </c>
      <c r="W314" s="149">
        <v>6.45</v>
      </c>
      <c r="X314" s="149">
        <v>31.3</v>
      </c>
      <c r="Y314" s="149">
        <v>123300</v>
      </c>
      <c r="Z314" s="149">
        <v>12690</v>
      </c>
      <c r="AA314" s="149">
        <v>23.1</v>
      </c>
      <c r="AB314" s="149">
        <v>7.41</v>
      </c>
      <c r="AC314" s="149">
        <v>4478</v>
      </c>
      <c r="AD314" s="149">
        <v>807</v>
      </c>
      <c r="AE314" s="149">
        <v>5033</v>
      </c>
      <c r="AF314" s="149">
        <v>1239</v>
      </c>
      <c r="AG314" s="149">
        <v>0.88500000000000001</v>
      </c>
      <c r="AH314" s="149">
        <v>23.4</v>
      </c>
      <c r="AI314" s="149">
        <v>8.7899999999999991</v>
      </c>
      <c r="AJ314" s="149">
        <v>374</v>
      </c>
      <c r="AK314" s="148">
        <v>231</v>
      </c>
    </row>
    <row r="315" spans="1:37" ht="15.6">
      <c r="A315" s="150" t="s">
        <v>354</v>
      </c>
      <c r="B315" s="149">
        <v>546.4</v>
      </c>
      <c r="C315" s="149">
        <v>313.39999999999998</v>
      </c>
      <c r="D315" s="149">
        <v>14</v>
      </c>
      <c r="E315" s="149">
        <v>22.2</v>
      </c>
      <c r="F315" s="149">
        <v>12.7</v>
      </c>
      <c r="G315" s="149">
        <v>476.6</v>
      </c>
      <c r="H315" s="149">
        <v>111300</v>
      </c>
      <c r="I315" s="149">
        <v>11400</v>
      </c>
      <c r="J315" s="149">
        <v>4072</v>
      </c>
      <c r="K315" s="149">
        <v>728</v>
      </c>
      <c r="L315" s="149">
        <v>4563</v>
      </c>
      <c r="M315" s="149">
        <v>1116</v>
      </c>
      <c r="N315" s="148">
        <v>211</v>
      </c>
      <c r="O315" s="150" t="s">
        <v>354</v>
      </c>
      <c r="P315" s="149">
        <v>165.5</v>
      </c>
      <c r="Q315" s="149">
        <v>546.4</v>
      </c>
      <c r="R315" s="149">
        <v>313.39999999999998</v>
      </c>
      <c r="S315" s="149">
        <v>14</v>
      </c>
      <c r="T315" s="149">
        <v>22.2</v>
      </c>
      <c r="U315" s="149">
        <v>12.7</v>
      </c>
      <c r="V315" s="149">
        <v>476.6</v>
      </c>
      <c r="W315" s="149">
        <v>7.06</v>
      </c>
      <c r="X315" s="149">
        <v>34</v>
      </c>
      <c r="Y315" s="149">
        <v>111300</v>
      </c>
      <c r="Z315" s="149">
        <v>11400</v>
      </c>
      <c r="AA315" s="149">
        <v>23</v>
      </c>
      <c r="AB315" s="149">
        <v>7.35</v>
      </c>
      <c r="AC315" s="149">
        <v>4072</v>
      </c>
      <c r="AD315" s="149">
        <v>728</v>
      </c>
      <c r="AE315" s="149">
        <v>4563</v>
      </c>
      <c r="AF315" s="149">
        <v>1116</v>
      </c>
      <c r="AG315" s="149">
        <v>0.88500000000000001</v>
      </c>
      <c r="AH315" s="149">
        <v>25.6</v>
      </c>
      <c r="AI315" s="149">
        <v>7.83</v>
      </c>
      <c r="AJ315" s="149">
        <v>284</v>
      </c>
      <c r="AK315" s="148">
        <v>211</v>
      </c>
    </row>
    <row r="316" spans="1:37" ht="15.6">
      <c r="A316" s="150" t="s">
        <v>353</v>
      </c>
      <c r="B316" s="149">
        <v>542.5</v>
      </c>
      <c r="C316" s="149">
        <v>312.2</v>
      </c>
      <c r="D316" s="149">
        <v>12.7</v>
      </c>
      <c r="E316" s="149">
        <v>20.3</v>
      </c>
      <c r="F316" s="149">
        <v>12.7</v>
      </c>
      <c r="G316" s="149">
        <v>476.5</v>
      </c>
      <c r="H316" s="149">
        <v>100700</v>
      </c>
      <c r="I316" s="149">
        <v>10310</v>
      </c>
      <c r="J316" s="149">
        <v>3712</v>
      </c>
      <c r="K316" s="149">
        <v>660</v>
      </c>
      <c r="L316" s="149">
        <v>4144</v>
      </c>
      <c r="M316" s="149">
        <v>1011</v>
      </c>
      <c r="N316" s="148">
        <v>192</v>
      </c>
      <c r="O316" s="150" t="s">
        <v>353</v>
      </c>
      <c r="P316" s="149">
        <v>150.6</v>
      </c>
      <c r="Q316" s="149">
        <v>542.5</v>
      </c>
      <c r="R316" s="149">
        <v>312.2</v>
      </c>
      <c r="S316" s="149">
        <v>12.7</v>
      </c>
      <c r="T316" s="149">
        <v>20.3</v>
      </c>
      <c r="U316" s="149">
        <v>12.7</v>
      </c>
      <c r="V316" s="149">
        <v>476.5</v>
      </c>
      <c r="W316" s="149">
        <v>7.69</v>
      </c>
      <c r="X316" s="149">
        <v>37.5</v>
      </c>
      <c r="Y316" s="149">
        <v>100700</v>
      </c>
      <c r="Z316" s="149">
        <v>10310</v>
      </c>
      <c r="AA316" s="149">
        <v>22.9</v>
      </c>
      <c r="AB316" s="149">
        <v>7.33</v>
      </c>
      <c r="AC316" s="149">
        <v>3712</v>
      </c>
      <c r="AD316" s="149">
        <v>660</v>
      </c>
      <c r="AE316" s="149">
        <v>4144</v>
      </c>
      <c r="AF316" s="149">
        <v>1011</v>
      </c>
      <c r="AG316" s="149">
        <v>0.88500000000000001</v>
      </c>
      <c r="AH316" s="149">
        <v>27.8</v>
      </c>
      <c r="AI316" s="149">
        <v>7.03</v>
      </c>
      <c r="AJ316" s="149">
        <v>216</v>
      </c>
      <c r="AK316" s="148">
        <v>192</v>
      </c>
    </row>
    <row r="317" spans="1:37" ht="15.6">
      <c r="A317" s="150" t="s">
        <v>352</v>
      </c>
      <c r="B317" s="149">
        <v>549.1</v>
      </c>
      <c r="C317" s="149">
        <v>213.9</v>
      </c>
      <c r="D317" s="149">
        <v>14.7</v>
      </c>
      <c r="E317" s="149">
        <v>23.6</v>
      </c>
      <c r="F317" s="149">
        <v>12.7</v>
      </c>
      <c r="G317" s="149">
        <v>476.5</v>
      </c>
      <c r="H317" s="149">
        <v>86090</v>
      </c>
      <c r="I317" s="149">
        <v>3864</v>
      </c>
      <c r="J317" s="149">
        <v>3136</v>
      </c>
      <c r="K317" s="149">
        <v>361</v>
      </c>
      <c r="L317" s="149">
        <v>3613</v>
      </c>
      <c r="M317" s="149">
        <v>568</v>
      </c>
      <c r="N317" s="148">
        <v>176</v>
      </c>
      <c r="O317" s="150" t="s">
        <v>352</v>
      </c>
      <c r="P317" s="149">
        <v>138.30000000000001</v>
      </c>
      <c r="Q317" s="149">
        <v>549.1</v>
      </c>
      <c r="R317" s="149">
        <v>213.9</v>
      </c>
      <c r="S317" s="149">
        <v>14.7</v>
      </c>
      <c r="T317" s="149">
        <v>23.6</v>
      </c>
      <c r="U317" s="149">
        <v>12.7</v>
      </c>
      <c r="V317" s="149">
        <v>476.5</v>
      </c>
      <c r="W317" s="149">
        <v>4.53</v>
      </c>
      <c r="X317" s="149">
        <v>32.4</v>
      </c>
      <c r="Y317" s="149">
        <v>86090</v>
      </c>
      <c r="Z317" s="149">
        <v>3864</v>
      </c>
      <c r="AA317" s="149">
        <v>22.1</v>
      </c>
      <c r="AB317" s="149">
        <v>4.68</v>
      </c>
      <c r="AC317" s="149">
        <v>3136</v>
      </c>
      <c r="AD317" s="149">
        <v>361</v>
      </c>
      <c r="AE317" s="149">
        <v>3613</v>
      </c>
      <c r="AF317" s="149">
        <v>568</v>
      </c>
      <c r="AG317" s="149">
        <v>0.873</v>
      </c>
      <c r="AH317" s="149">
        <v>25</v>
      </c>
      <c r="AI317" s="149">
        <v>2.67</v>
      </c>
      <c r="AJ317" s="149">
        <v>250</v>
      </c>
      <c r="AK317" s="148">
        <v>176</v>
      </c>
    </row>
    <row r="318" spans="1:37" ht="15.6">
      <c r="A318" s="150" t="s">
        <v>351</v>
      </c>
      <c r="B318" s="149">
        <v>544.29999999999995</v>
      </c>
      <c r="C318" s="149">
        <v>212.2</v>
      </c>
      <c r="D318" s="149">
        <v>13.1</v>
      </c>
      <c r="E318" s="149">
        <v>21.2</v>
      </c>
      <c r="F318" s="149">
        <v>12.7</v>
      </c>
      <c r="G318" s="149">
        <v>476.5</v>
      </c>
      <c r="H318" s="149">
        <v>76240</v>
      </c>
      <c r="I318" s="149">
        <v>3387</v>
      </c>
      <c r="J318" s="149">
        <v>2801</v>
      </c>
      <c r="K318" s="149">
        <v>319</v>
      </c>
      <c r="L318" s="149">
        <v>3213</v>
      </c>
      <c r="M318" s="149">
        <v>500</v>
      </c>
      <c r="N318" s="148">
        <v>157</v>
      </c>
      <c r="O318" s="150" t="s">
        <v>351</v>
      </c>
      <c r="P318" s="149">
        <v>123.3</v>
      </c>
      <c r="Q318" s="149">
        <v>544.29999999999995</v>
      </c>
      <c r="R318" s="149">
        <v>212.2</v>
      </c>
      <c r="S318" s="149">
        <v>13.1</v>
      </c>
      <c r="T318" s="149">
        <v>21.2</v>
      </c>
      <c r="U318" s="149">
        <v>12.7</v>
      </c>
      <c r="V318" s="149">
        <v>476.5</v>
      </c>
      <c r="W318" s="149">
        <v>5</v>
      </c>
      <c r="X318" s="149">
        <v>36.4</v>
      </c>
      <c r="Y318" s="149">
        <v>76240</v>
      </c>
      <c r="Z318" s="149">
        <v>3387</v>
      </c>
      <c r="AA318" s="149">
        <v>22</v>
      </c>
      <c r="AB318" s="149">
        <v>4.6399999999999997</v>
      </c>
      <c r="AC318" s="149">
        <v>2801</v>
      </c>
      <c r="AD318" s="149">
        <v>319</v>
      </c>
      <c r="AE318" s="149">
        <v>3213</v>
      </c>
      <c r="AF318" s="149">
        <v>500</v>
      </c>
      <c r="AG318" s="149">
        <v>0.874</v>
      </c>
      <c r="AH318" s="149">
        <v>27.6</v>
      </c>
      <c r="AI318" s="149">
        <v>2.3199999999999998</v>
      </c>
      <c r="AJ318" s="149">
        <v>181</v>
      </c>
      <c r="AK318" s="148">
        <v>157</v>
      </c>
    </row>
    <row r="319" spans="1:37" ht="15.6">
      <c r="A319" s="150" t="s">
        <v>350</v>
      </c>
      <c r="B319" s="149">
        <v>539.5</v>
      </c>
      <c r="C319" s="149">
        <v>210.7</v>
      </c>
      <c r="D319" s="149">
        <v>11.6</v>
      </c>
      <c r="E319" s="149">
        <v>18.8</v>
      </c>
      <c r="F319" s="149">
        <v>12.7</v>
      </c>
      <c r="G319" s="149">
        <v>476.5</v>
      </c>
      <c r="H319" s="149">
        <v>66800</v>
      </c>
      <c r="I319" s="149">
        <v>2939</v>
      </c>
      <c r="J319" s="149">
        <v>2476</v>
      </c>
      <c r="K319" s="149">
        <v>279</v>
      </c>
      <c r="L319" s="149">
        <v>2827</v>
      </c>
      <c r="M319" s="149">
        <v>435</v>
      </c>
      <c r="N319" s="148">
        <v>139</v>
      </c>
      <c r="O319" s="150" t="s">
        <v>350</v>
      </c>
      <c r="P319" s="149">
        <v>109</v>
      </c>
      <c r="Q319" s="149">
        <v>539.5</v>
      </c>
      <c r="R319" s="149">
        <v>210.7</v>
      </c>
      <c r="S319" s="149">
        <v>11.6</v>
      </c>
      <c r="T319" s="149">
        <v>18.8</v>
      </c>
      <c r="U319" s="149">
        <v>12.7</v>
      </c>
      <c r="V319" s="149">
        <v>476.5</v>
      </c>
      <c r="W319" s="149">
        <v>5.6</v>
      </c>
      <c r="X319" s="149">
        <v>41.1</v>
      </c>
      <c r="Y319" s="149">
        <v>66800</v>
      </c>
      <c r="Z319" s="149">
        <v>2939</v>
      </c>
      <c r="AA319" s="149">
        <v>21.9</v>
      </c>
      <c r="AB319" s="149">
        <v>4.5999999999999996</v>
      </c>
      <c r="AC319" s="149">
        <v>2476</v>
      </c>
      <c r="AD319" s="149">
        <v>279</v>
      </c>
      <c r="AE319" s="149">
        <v>2827</v>
      </c>
      <c r="AF319" s="149">
        <v>435</v>
      </c>
      <c r="AG319" s="149">
        <v>0.875</v>
      </c>
      <c r="AH319" s="149">
        <v>30.9</v>
      </c>
      <c r="AI319" s="149">
        <v>1.99</v>
      </c>
      <c r="AJ319" s="149">
        <v>126</v>
      </c>
      <c r="AK319" s="148">
        <v>139</v>
      </c>
    </row>
    <row r="320" spans="1:37" ht="15.6">
      <c r="A320" s="150" t="s">
        <v>349</v>
      </c>
      <c r="B320" s="149">
        <v>536.70000000000005</v>
      </c>
      <c r="C320" s="149">
        <v>210.1</v>
      </c>
      <c r="D320" s="149">
        <v>10.9</v>
      </c>
      <c r="E320" s="149">
        <v>17.399999999999999</v>
      </c>
      <c r="F320" s="149">
        <v>12.7</v>
      </c>
      <c r="G320" s="149">
        <v>476.5</v>
      </c>
      <c r="H320" s="149">
        <v>61650</v>
      </c>
      <c r="I320" s="149">
        <v>2696</v>
      </c>
      <c r="J320" s="149">
        <v>2297</v>
      </c>
      <c r="K320" s="149">
        <v>257</v>
      </c>
      <c r="L320" s="149">
        <v>2619</v>
      </c>
      <c r="M320" s="149">
        <v>400</v>
      </c>
      <c r="N320" s="148">
        <v>129</v>
      </c>
      <c r="O320" s="150" t="s">
        <v>349</v>
      </c>
      <c r="P320" s="149">
        <v>101.4</v>
      </c>
      <c r="Q320" s="149">
        <v>536.70000000000005</v>
      </c>
      <c r="R320" s="149">
        <v>210.1</v>
      </c>
      <c r="S320" s="149">
        <v>10.9</v>
      </c>
      <c r="T320" s="149">
        <v>17.399999999999999</v>
      </c>
      <c r="U320" s="149">
        <v>12.7</v>
      </c>
      <c r="V320" s="149">
        <v>476.5</v>
      </c>
      <c r="W320" s="149">
        <v>6.04</v>
      </c>
      <c r="X320" s="149">
        <v>43.7</v>
      </c>
      <c r="Y320" s="149">
        <v>61650</v>
      </c>
      <c r="Z320" s="149">
        <v>2696</v>
      </c>
      <c r="AA320" s="149">
        <v>21.8</v>
      </c>
      <c r="AB320" s="149">
        <v>4.57</v>
      </c>
      <c r="AC320" s="149">
        <v>2297</v>
      </c>
      <c r="AD320" s="149">
        <v>257</v>
      </c>
      <c r="AE320" s="149">
        <v>2619</v>
      </c>
      <c r="AF320" s="149">
        <v>400</v>
      </c>
      <c r="AG320" s="149">
        <v>0.874</v>
      </c>
      <c r="AH320" s="149">
        <v>33.1</v>
      </c>
      <c r="AI320" s="149">
        <v>1.82</v>
      </c>
      <c r="AJ320" s="149">
        <v>102</v>
      </c>
      <c r="AK320" s="148">
        <v>129</v>
      </c>
    </row>
    <row r="321" spans="1:37" ht="15.6">
      <c r="A321" s="150" t="s">
        <v>348</v>
      </c>
      <c r="B321" s="149">
        <v>533.1</v>
      </c>
      <c r="C321" s="149">
        <v>209.3</v>
      </c>
      <c r="D321" s="149">
        <v>10.199999999999999</v>
      </c>
      <c r="E321" s="149">
        <v>15.6</v>
      </c>
      <c r="F321" s="149">
        <v>12.7</v>
      </c>
      <c r="G321" s="149">
        <v>476.5</v>
      </c>
      <c r="H321" s="149">
        <v>55330</v>
      </c>
      <c r="I321" s="149">
        <v>2389</v>
      </c>
      <c r="J321" s="149">
        <v>2076</v>
      </c>
      <c r="K321" s="149">
        <v>228</v>
      </c>
      <c r="L321" s="149">
        <v>2366</v>
      </c>
      <c r="M321" s="149">
        <v>356</v>
      </c>
      <c r="N321" s="148">
        <v>118</v>
      </c>
      <c r="O321" s="150" t="s">
        <v>348</v>
      </c>
      <c r="P321" s="149">
        <v>92.5</v>
      </c>
      <c r="Q321" s="149">
        <v>533.1</v>
      </c>
      <c r="R321" s="149">
        <v>209.3</v>
      </c>
      <c r="S321" s="149">
        <v>10.199999999999999</v>
      </c>
      <c r="T321" s="149">
        <v>15.6</v>
      </c>
      <c r="U321" s="149">
        <v>12.7</v>
      </c>
      <c r="V321" s="149">
        <v>476.5</v>
      </c>
      <c r="W321" s="149">
        <v>6.71</v>
      </c>
      <c r="X321" s="149">
        <v>46.7</v>
      </c>
      <c r="Y321" s="149">
        <v>55330</v>
      </c>
      <c r="Z321" s="149">
        <v>2389</v>
      </c>
      <c r="AA321" s="149">
        <v>21.7</v>
      </c>
      <c r="AB321" s="149">
        <v>4.5</v>
      </c>
      <c r="AC321" s="149">
        <v>2076</v>
      </c>
      <c r="AD321" s="149">
        <v>228</v>
      </c>
      <c r="AE321" s="149">
        <v>2366</v>
      </c>
      <c r="AF321" s="149">
        <v>356</v>
      </c>
      <c r="AG321" s="149">
        <v>0.871</v>
      </c>
      <c r="AH321" s="149">
        <v>36.4</v>
      </c>
      <c r="AI321" s="149">
        <v>1.6</v>
      </c>
      <c r="AJ321" s="149">
        <v>76.3</v>
      </c>
      <c r="AK321" s="148">
        <v>118</v>
      </c>
    </row>
    <row r="322" spans="1:37" ht="15.6">
      <c r="A322" s="150" t="s">
        <v>347</v>
      </c>
      <c r="B322" s="149">
        <v>534.9</v>
      </c>
      <c r="C322" s="149">
        <v>166.5</v>
      </c>
      <c r="D322" s="149">
        <v>10.3</v>
      </c>
      <c r="E322" s="149">
        <v>16.5</v>
      </c>
      <c r="F322" s="149">
        <v>12.7</v>
      </c>
      <c r="G322" s="149">
        <v>476.5</v>
      </c>
      <c r="H322" s="149">
        <v>48630</v>
      </c>
      <c r="I322" s="149">
        <v>1275</v>
      </c>
      <c r="J322" s="149">
        <v>1818</v>
      </c>
      <c r="K322" s="149">
        <v>153</v>
      </c>
      <c r="L322" s="149">
        <v>2107</v>
      </c>
      <c r="M322" s="149">
        <v>243</v>
      </c>
      <c r="N322" s="148">
        <v>108</v>
      </c>
      <c r="O322" s="150" t="s">
        <v>347</v>
      </c>
      <c r="P322" s="149">
        <v>84.8</v>
      </c>
      <c r="Q322" s="149">
        <v>534.9</v>
      </c>
      <c r="R322" s="149">
        <v>166.5</v>
      </c>
      <c r="S322" s="149">
        <v>10.3</v>
      </c>
      <c r="T322" s="149">
        <v>16.5</v>
      </c>
      <c r="U322" s="149">
        <v>12.7</v>
      </c>
      <c r="V322" s="149">
        <v>476.5</v>
      </c>
      <c r="W322" s="149">
        <v>5.05</v>
      </c>
      <c r="X322" s="149">
        <v>46.3</v>
      </c>
      <c r="Y322" s="149">
        <v>48630</v>
      </c>
      <c r="Z322" s="149">
        <v>1275</v>
      </c>
      <c r="AA322" s="149">
        <v>21.2</v>
      </c>
      <c r="AB322" s="149">
        <v>3.44</v>
      </c>
      <c r="AC322" s="149">
        <v>1818</v>
      </c>
      <c r="AD322" s="149">
        <v>153</v>
      </c>
      <c r="AE322" s="149">
        <v>2107</v>
      </c>
      <c r="AF322" s="149">
        <v>243</v>
      </c>
      <c r="AG322" s="149">
        <v>0.86199999999999999</v>
      </c>
      <c r="AH322" s="149">
        <v>35.5</v>
      </c>
      <c r="AI322" s="149">
        <v>0.85699999999999998</v>
      </c>
      <c r="AJ322" s="149">
        <v>73.8</v>
      </c>
      <c r="AK322" s="148">
        <v>108</v>
      </c>
    </row>
    <row r="323" spans="1:37" ht="15.6">
      <c r="A323" s="150" t="s">
        <v>346</v>
      </c>
      <c r="B323" s="149">
        <v>529.1</v>
      </c>
      <c r="C323" s="149">
        <v>165.9</v>
      </c>
      <c r="D323" s="149">
        <v>9.6999999999999993</v>
      </c>
      <c r="E323" s="149">
        <v>13.6</v>
      </c>
      <c r="F323" s="149">
        <v>12.7</v>
      </c>
      <c r="G323" s="149">
        <v>476.5</v>
      </c>
      <c r="H323" s="149">
        <v>41060</v>
      </c>
      <c r="I323" s="149">
        <v>1040</v>
      </c>
      <c r="J323" s="149">
        <v>1552</v>
      </c>
      <c r="K323" s="149">
        <v>125</v>
      </c>
      <c r="L323" s="149">
        <v>1808</v>
      </c>
      <c r="M323" s="149">
        <v>200</v>
      </c>
      <c r="N323" s="148">
        <v>95.2</v>
      </c>
      <c r="O323" s="150" t="s">
        <v>346</v>
      </c>
      <c r="P323" s="149">
        <v>74.7</v>
      </c>
      <c r="Q323" s="149">
        <v>529.1</v>
      </c>
      <c r="R323" s="149">
        <v>165.9</v>
      </c>
      <c r="S323" s="149">
        <v>9.6999999999999993</v>
      </c>
      <c r="T323" s="149">
        <v>13.6</v>
      </c>
      <c r="U323" s="149">
        <v>12.7</v>
      </c>
      <c r="V323" s="149">
        <v>476.5</v>
      </c>
      <c r="W323" s="149">
        <v>6.1</v>
      </c>
      <c r="X323" s="149">
        <v>49.1</v>
      </c>
      <c r="Y323" s="149">
        <v>41060</v>
      </c>
      <c r="Z323" s="149">
        <v>1040</v>
      </c>
      <c r="AA323" s="149">
        <v>20.8</v>
      </c>
      <c r="AB323" s="149">
        <v>3.3</v>
      </c>
      <c r="AC323" s="149">
        <v>1552</v>
      </c>
      <c r="AD323" s="149">
        <v>125</v>
      </c>
      <c r="AE323" s="149">
        <v>1808</v>
      </c>
      <c r="AF323" s="149">
        <v>200</v>
      </c>
      <c r="AG323" s="149">
        <v>0.85299999999999998</v>
      </c>
      <c r="AH323" s="149">
        <v>41.1</v>
      </c>
      <c r="AI323" s="149">
        <v>0.69099999999999995</v>
      </c>
      <c r="AJ323" s="149">
        <v>47.9</v>
      </c>
      <c r="AK323" s="148">
        <v>95.2</v>
      </c>
    </row>
    <row r="324" spans="1:37" ht="15.6">
      <c r="A324" s="147" t="s">
        <v>345</v>
      </c>
      <c r="B324" s="146">
        <v>524.79999999999995</v>
      </c>
      <c r="C324" s="146">
        <v>165.1</v>
      </c>
      <c r="D324" s="146">
        <v>8.9</v>
      </c>
      <c r="E324" s="146">
        <v>11.4</v>
      </c>
      <c r="F324" s="146">
        <v>12.7</v>
      </c>
      <c r="G324" s="146">
        <v>476.6</v>
      </c>
      <c r="H324" s="146">
        <v>35040</v>
      </c>
      <c r="I324" s="146">
        <v>859</v>
      </c>
      <c r="J324" s="146">
        <v>1336</v>
      </c>
      <c r="K324" s="146">
        <v>104</v>
      </c>
      <c r="L324" s="146">
        <v>1561</v>
      </c>
      <c r="M324" s="146">
        <v>166</v>
      </c>
      <c r="N324" s="145">
        <v>83.7</v>
      </c>
      <c r="O324" s="147" t="s">
        <v>345</v>
      </c>
      <c r="P324" s="146">
        <v>65.7</v>
      </c>
      <c r="Q324" s="146">
        <v>524.79999999999995</v>
      </c>
      <c r="R324" s="146">
        <v>165.1</v>
      </c>
      <c r="S324" s="146">
        <v>8.9</v>
      </c>
      <c r="T324" s="146">
        <v>11.4</v>
      </c>
      <c r="U324" s="146">
        <v>12.7</v>
      </c>
      <c r="V324" s="146">
        <v>476.6</v>
      </c>
      <c r="W324" s="146">
        <v>7.24</v>
      </c>
      <c r="X324" s="146">
        <v>53.6</v>
      </c>
      <c r="Y324" s="146">
        <v>35040</v>
      </c>
      <c r="Z324" s="146">
        <v>859</v>
      </c>
      <c r="AA324" s="146">
        <v>20.5</v>
      </c>
      <c r="AB324" s="146">
        <v>3.2</v>
      </c>
      <c r="AC324" s="146">
        <v>1336</v>
      </c>
      <c r="AD324" s="146">
        <v>104</v>
      </c>
      <c r="AE324" s="146">
        <v>1561</v>
      </c>
      <c r="AF324" s="146">
        <v>166</v>
      </c>
      <c r="AG324" s="146">
        <v>0.84699999999999998</v>
      </c>
      <c r="AH324" s="146">
        <v>47</v>
      </c>
      <c r="AI324" s="146">
        <v>0.56599999999999995</v>
      </c>
      <c r="AJ324" s="146">
        <v>32</v>
      </c>
      <c r="AK324" s="145">
        <v>83.7</v>
      </c>
    </row>
    <row r="325" spans="1:37" ht="15.6">
      <c r="A325" s="150" t="s">
        <v>344</v>
      </c>
      <c r="B325" s="149">
        <v>469.1</v>
      </c>
      <c r="C325" s="149">
        <v>193.9</v>
      </c>
      <c r="D325" s="149">
        <v>12.6</v>
      </c>
      <c r="E325" s="149">
        <v>20.6</v>
      </c>
      <c r="F325" s="149">
        <v>12.7</v>
      </c>
      <c r="G325" s="149">
        <v>402.5</v>
      </c>
      <c r="H325" s="149">
        <v>49050</v>
      </c>
      <c r="I325" s="149">
        <v>2511</v>
      </c>
      <c r="J325" s="149">
        <v>2091</v>
      </c>
      <c r="K325" s="149">
        <v>259</v>
      </c>
      <c r="L325" s="149">
        <v>2397</v>
      </c>
      <c r="M325" s="149">
        <v>405</v>
      </c>
      <c r="N325" s="148">
        <v>135</v>
      </c>
      <c r="O325" s="150" t="s">
        <v>344</v>
      </c>
      <c r="P325" s="149">
        <v>106.1</v>
      </c>
      <c r="Q325" s="149">
        <v>469.1</v>
      </c>
      <c r="R325" s="149">
        <v>193.9</v>
      </c>
      <c r="S325" s="149">
        <v>12.6</v>
      </c>
      <c r="T325" s="149">
        <v>20.6</v>
      </c>
      <c r="U325" s="149">
        <v>12.7</v>
      </c>
      <c r="V325" s="149">
        <v>402.5</v>
      </c>
      <c r="W325" s="149">
        <v>4.71</v>
      </c>
      <c r="X325" s="149">
        <v>31.9</v>
      </c>
      <c r="Y325" s="149">
        <v>49050</v>
      </c>
      <c r="Z325" s="149">
        <v>2511</v>
      </c>
      <c r="AA325" s="149">
        <v>19</v>
      </c>
      <c r="AB325" s="149">
        <v>4.3099999999999996</v>
      </c>
      <c r="AC325" s="149">
        <v>2091</v>
      </c>
      <c r="AD325" s="149">
        <v>259</v>
      </c>
      <c r="AE325" s="149">
        <v>2397</v>
      </c>
      <c r="AF325" s="149">
        <v>405</v>
      </c>
      <c r="AG325" s="149">
        <v>0.878</v>
      </c>
      <c r="AH325" s="149">
        <v>24.2</v>
      </c>
      <c r="AI325" s="149">
        <v>1.26</v>
      </c>
      <c r="AJ325" s="149">
        <v>149</v>
      </c>
      <c r="AK325" s="148">
        <v>135</v>
      </c>
    </row>
    <row r="326" spans="1:37" ht="15.6">
      <c r="A326" s="150" t="s">
        <v>343</v>
      </c>
      <c r="B326" s="149">
        <v>466.4</v>
      </c>
      <c r="C326" s="149">
        <v>192.8</v>
      </c>
      <c r="D326" s="149">
        <v>11.4</v>
      </c>
      <c r="E326" s="149">
        <v>19</v>
      </c>
      <c r="F326" s="149">
        <v>12.7</v>
      </c>
      <c r="G326" s="149">
        <v>403</v>
      </c>
      <c r="H326" s="149">
        <v>44770</v>
      </c>
      <c r="I326" s="149">
        <v>2276</v>
      </c>
      <c r="J326" s="149">
        <v>1920</v>
      </c>
      <c r="K326" s="149">
        <v>236</v>
      </c>
      <c r="L326" s="149">
        <v>2191</v>
      </c>
      <c r="M326" s="149">
        <v>368</v>
      </c>
      <c r="N326" s="148">
        <v>123</v>
      </c>
      <c r="O326" s="150" t="s">
        <v>343</v>
      </c>
      <c r="P326" s="149">
        <v>96.9</v>
      </c>
      <c r="Q326" s="149">
        <v>466.4</v>
      </c>
      <c r="R326" s="149">
        <v>192.8</v>
      </c>
      <c r="S326" s="149">
        <v>11.4</v>
      </c>
      <c r="T326" s="149">
        <v>19</v>
      </c>
      <c r="U326" s="149">
        <v>12.7</v>
      </c>
      <c r="V326" s="149">
        <v>403</v>
      </c>
      <c r="W326" s="149">
        <v>5.07</v>
      </c>
      <c r="X326" s="149">
        <v>35.4</v>
      </c>
      <c r="Y326" s="149">
        <v>44770</v>
      </c>
      <c r="Z326" s="149">
        <v>2276</v>
      </c>
      <c r="AA326" s="149">
        <v>19</v>
      </c>
      <c r="AB326" s="149">
        <v>4.29</v>
      </c>
      <c r="AC326" s="149">
        <v>1920</v>
      </c>
      <c r="AD326" s="149">
        <v>236</v>
      </c>
      <c r="AE326" s="149">
        <v>2191</v>
      </c>
      <c r="AF326" s="149">
        <v>368</v>
      </c>
      <c r="AG326" s="149">
        <v>0.879</v>
      </c>
      <c r="AH326" s="149">
        <v>26.1</v>
      </c>
      <c r="AI326" s="149">
        <v>1.1399999999999999</v>
      </c>
      <c r="AJ326" s="149">
        <v>116</v>
      </c>
      <c r="AK326" s="148">
        <v>123</v>
      </c>
    </row>
    <row r="327" spans="1:37" ht="15.6">
      <c r="A327" s="150" t="s">
        <v>342</v>
      </c>
      <c r="B327" s="149">
        <v>463.2</v>
      </c>
      <c r="C327" s="149">
        <v>191.9</v>
      </c>
      <c r="D327" s="149">
        <v>10.5</v>
      </c>
      <c r="E327" s="149">
        <v>17.7</v>
      </c>
      <c r="F327" s="149">
        <v>12.7</v>
      </c>
      <c r="G327" s="149">
        <v>402.4</v>
      </c>
      <c r="H327" s="149">
        <v>41190</v>
      </c>
      <c r="I327" s="149">
        <v>2090</v>
      </c>
      <c r="J327" s="149">
        <v>1779</v>
      </c>
      <c r="K327" s="149">
        <v>218</v>
      </c>
      <c r="L327" s="149">
        <v>2023</v>
      </c>
      <c r="M327" s="149">
        <v>339</v>
      </c>
      <c r="N327" s="148">
        <v>114</v>
      </c>
      <c r="O327" s="150" t="s">
        <v>342</v>
      </c>
      <c r="P327" s="149">
        <v>89.7</v>
      </c>
      <c r="Q327" s="149">
        <v>463.2</v>
      </c>
      <c r="R327" s="149">
        <v>191.9</v>
      </c>
      <c r="S327" s="149">
        <v>10.5</v>
      </c>
      <c r="T327" s="149">
        <v>17.7</v>
      </c>
      <c r="U327" s="149">
        <v>12.7</v>
      </c>
      <c r="V327" s="149">
        <v>402.4</v>
      </c>
      <c r="W327" s="149">
        <v>5.42</v>
      </c>
      <c r="X327" s="149">
        <v>38.299999999999997</v>
      </c>
      <c r="Y327" s="149">
        <v>41190</v>
      </c>
      <c r="Z327" s="149">
        <v>2090</v>
      </c>
      <c r="AA327" s="149">
        <v>19</v>
      </c>
      <c r="AB327" s="149">
        <v>4.28</v>
      </c>
      <c r="AC327" s="149">
        <v>1779</v>
      </c>
      <c r="AD327" s="149">
        <v>218</v>
      </c>
      <c r="AE327" s="149">
        <v>2023</v>
      </c>
      <c r="AF327" s="149">
        <v>339</v>
      </c>
      <c r="AG327" s="149">
        <v>0.88</v>
      </c>
      <c r="AH327" s="149">
        <v>27.9</v>
      </c>
      <c r="AI327" s="149">
        <v>1.04</v>
      </c>
      <c r="AJ327" s="149">
        <v>93.3</v>
      </c>
      <c r="AK327" s="148">
        <v>114</v>
      </c>
    </row>
    <row r="328" spans="1:37" ht="15.6">
      <c r="A328" s="150" t="s">
        <v>341</v>
      </c>
      <c r="B328" s="149">
        <v>460</v>
      </c>
      <c r="C328" s="149">
        <v>191.3</v>
      </c>
      <c r="D328" s="149">
        <v>9.9</v>
      </c>
      <c r="E328" s="149">
        <v>16</v>
      </c>
      <c r="F328" s="149">
        <v>12.7</v>
      </c>
      <c r="G328" s="149">
        <v>402.6</v>
      </c>
      <c r="H328" s="149">
        <v>37270</v>
      </c>
      <c r="I328" s="149">
        <v>1871</v>
      </c>
      <c r="J328" s="149">
        <v>1620</v>
      </c>
      <c r="K328" s="149">
        <v>196</v>
      </c>
      <c r="L328" s="149">
        <v>1842</v>
      </c>
      <c r="M328" s="149">
        <v>304</v>
      </c>
      <c r="N328" s="148">
        <v>105</v>
      </c>
      <c r="O328" s="150" t="s">
        <v>341</v>
      </c>
      <c r="P328" s="149">
        <v>82.4</v>
      </c>
      <c r="Q328" s="149">
        <v>460</v>
      </c>
      <c r="R328" s="149">
        <v>191.3</v>
      </c>
      <c r="S328" s="149">
        <v>9.9</v>
      </c>
      <c r="T328" s="149">
        <v>16</v>
      </c>
      <c r="U328" s="149">
        <v>12.7</v>
      </c>
      <c r="V328" s="149">
        <v>402.6</v>
      </c>
      <c r="W328" s="149">
        <v>5.98</v>
      </c>
      <c r="X328" s="149">
        <v>40.700000000000003</v>
      </c>
      <c r="Y328" s="149">
        <v>37270</v>
      </c>
      <c r="Z328" s="149">
        <v>1871</v>
      </c>
      <c r="AA328" s="149">
        <v>18.8</v>
      </c>
      <c r="AB328" s="149">
        <v>4.22</v>
      </c>
      <c r="AC328" s="149">
        <v>1620</v>
      </c>
      <c r="AD328" s="149">
        <v>196</v>
      </c>
      <c r="AE328" s="149">
        <v>1842</v>
      </c>
      <c r="AF328" s="149">
        <v>304</v>
      </c>
      <c r="AG328" s="149">
        <v>0.878</v>
      </c>
      <c r="AH328" s="149">
        <v>30.5</v>
      </c>
      <c r="AI328" s="149">
        <v>0.92200000000000004</v>
      </c>
      <c r="AJ328" s="149">
        <v>71.400000000000006</v>
      </c>
      <c r="AK328" s="148">
        <v>105</v>
      </c>
    </row>
    <row r="329" spans="1:37" ht="15.6">
      <c r="A329" s="150" t="s">
        <v>340</v>
      </c>
      <c r="B329" s="149">
        <v>457</v>
      </c>
      <c r="C329" s="149">
        <v>190.4</v>
      </c>
      <c r="D329" s="149">
        <v>9</v>
      </c>
      <c r="E329" s="149">
        <v>14.5</v>
      </c>
      <c r="F329" s="149">
        <v>12.7</v>
      </c>
      <c r="G329" s="149">
        <v>402.6</v>
      </c>
      <c r="H329" s="149">
        <v>33540</v>
      </c>
      <c r="I329" s="149">
        <v>1672</v>
      </c>
      <c r="J329" s="149">
        <v>1468</v>
      </c>
      <c r="K329" s="149">
        <v>176</v>
      </c>
      <c r="L329" s="149">
        <v>1663</v>
      </c>
      <c r="M329" s="149">
        <v>273</v>
      </c>
      <c r="N329" s="148">
        <v>95.1</v>
      </c>
      <c r="O329" s="150" t="s">
        <v>340</v>
      </c>
      <c r="P329" s="149">
        <v>74.7</v>
      </c>
      <c r="Q329" s="149">
        <v>457</v>
      </c>
      <c r="R329" s="149">
        <v>190.4</v>
      </c>
      <c r="S329" s="149">
        <v>9</v>
      </c>
      <c r="T329" s="149">
        <v>14.5</v>
      </c>
      <c r="U329" s="149">
        <v>12.7</v>
      </c>
      <c r="V329" s="149">
        <v>402.6</v>
      </c>
      <c r="W329" s="149">
        <v>6.57</v>
      </c>
      <c r="X329" s="149">
        <v>44.7</v>
      </c>
      <c r="Y329" s="149">
        <v>33540</v>
      </c>
      <c r="Z329" s="149">
        <v>1672</v>
      </c>
      <c r="AA329" s="149">
        <v>18.8</v>
      </c>
      <c r="AB329" s="149">
        <v>4.1900000000000004</v>
      </c>
      <c r="AC329" s="149">
        <v>1468</v>
      </c>
      <c r="AD329" s="149">
        <v>176</v>
      </c>
      <c r="AE329" s="149">
        <v>1663</v>
      </c>
      <c r="AF329" s="149">
        <v>273</v>
      </c>
      <c r="AG329" s="149">
        <v>0.878</v>
      </c>
      <c r="AH329" s="149">
        <v>33.4</v>
      </c>
      <c r="AI329" s="149">
        <v>0.81799999999999995</v>
      </c>
      <c r="AJ329" s="149">
        <v>53.6</v>
      </c>
      <c r="AK329" s="148">
        <v>95.1</v>
      </c>
    </row>
    <row r="330" spans="1:37">
      <c r="A330" s="150" t="s">
        <v>339</v>
      </c>
      <c r="B330" s="149">
        <v>458.7</v>
      </c>
      <c r="C330" s="149">
        <v>153.9</v>
      </c>
      <c r="D330" s="149">
        <v>9.1</v>
      </c>
      <c r="E330" s="149">
        <v>15.4</v>
      </c>
      <c r="F330" s="149">
        <v>12.7</v>
      </c>
      <c r="G330" s="149">
        <v>402.5</v>
      </c>
      <c r="H330" s="149">
        <v>29860</v>
      </c>
      <c r="I330" s="149">
        <v>939</v>
      </c>
      <c r="J330" s="149">
        <v>1302</v>
      </c>
      <c r="K330" s="149">
        <v>122</v>
      </c>
      <c r="L330" s="149">
        <v>1496</v>
      </c>
      <c r="M330" s="149">
        <v>192</v>
      </c>
      <c r="N330" s="148">
        <v>87.7</v>
      </c>
      <c r="O330" s="150" t="s">
        <v>339</v>
      </c>
      <c r="P330" s="149">
        <v>68.900000000000006</v>
      </c>
      <c r="Q330" s="149">
        <v>458.7</v>
      </c>
      <c r="R330" s="149">
        <v>153.9</v>
      </c>
      <c r="S330" s="149">
        <v>9.1</v>
      </c>
      <c r="T330" s="149">
        <v>15.4</v>
      </c>
      <c r="U330" s="149">
        <v>12.7</v>
      </c>
      <c r="V330" s="149">
        <v>402.5</v>
      </c>
      <c r="W330" s="149">
        <v>5</v>
      </c>
      <c r="X330" s="149">
        <v>44.2</v>
      </c>
      <c r="Y330" s="149">
        <v>29860</v>
      </c>
      <c r="Z330" s="149">
        <v>939</v>
      </c>
      <c r="AA330" s="149">
        <v>18.399999999999999</v>
      </c>
      <c r="AB330" s="149">
        <v>3.27</v>
      </c>
      <c r="AC330" s="149">
        <v>1302</v>
      </c>
      <c r="AD330" s="149">
        <v>122</v>
      </c>
      <c r="AE330" s="149">
        <v>1496</v>
      </c>
      <c r="AF330" s="149">
        <v>192</v>
      </c>
      <c r="AG330" s="149">
        <v>0.87</v>
      </c>
      <c r="AH330" s="149">
        <v>32.299999999999997</v>
      </c>
      <c r="AI330" s="149">
        <v>0.46100000000000002</v>
      </c>
      <c r="AJ330" s="149">
        <v>52.9</v>
      </c>
      <c r="AK330" s="148">
        <v>87.7</v>
      </c>
    </row>
    <row r="331" spans="1:37">
      <c r="A331" s="150" t="s">
        <v>338</v>
      </c>
      <c r="B331" s="149">
        <v>454.7</v>
      </c>
      <c r="C331" s="149">
        <v>152.80000000000001</v>
      </c>
      <c r="D331" s="149">
        <v>8</v>
      </c>
      <c r="E331" s="149">
        <v>13.3</v>
      </c>
      <c r="F331" s="149">
        <v>12.7</v>
      </c>
      <c r="G331" s="149">
        <v>402.7</v>
      </c>
      <c r="H331" s="149">
        <v>25650</v>
      </c>
      <c r="I331" s="149">
        <v>793</v>
      </c>
      <c r="J331" s="149">
        <v>1128</v>
      </c>
      <c r="K331" s="149">
        <v>104</v>
      </c>
      <c r="L331" s="149">
        <v>1293</v>
      </c>
      <c r="M331" s="149">
        <v>163</v>
      </c>
      <c r="N331" s="148">
        <v>76.3</v>
      </c>
      <c r="O331" s="150" t="s">
        <v>338</v>
      </c>
      <c r="P331" s="149">
        <v>59.9</v>
      </c>
      <c r="Q331" s="149">
        <v>454.7</v>
      </c>
      <c r="R331" s="149">
        <v>152.80000000000001</v>
      </c>
      <c r="S331" s="149">
        <v>8</v>
      </c>
      <c r="T331" s="149">
        <v>13.3</v>
      </c>
      <c r="U331" s="149">
        <v>12.7</v>
      </c>
      <c r="V331" s="149">
        <v>402.7</v>
      </c>
      <c r="W331" s="149">
        <v>5.74</v>
      </c>
      <c r="X331" s="149">
        <v>50.3</v>
      </c>
      <c r="Y331" s="149">
        <v>25650</v>
      </c>
      <c r="Z331" s="149">
        <v>793</v>
      </c>
      <c r="AA331" s="149">
        <v>18.3</v>
      </c>
      <c r="AB331" s="149">
        <v>3.23</v>
      </c>
      <c r="AC331" s="149">
        <v>1128</v>
      </c>
      <c r="AD331" s="149">
        <v>104</v>
      </c>
      <c r="AE331" s="149">
        <v>1293</v>
      </c>
      <c r="AF331" s="149">
        <v>163</v>
      </c>
      <c r="AG331" s="149">
        <v>0.86899999999999999</v>
      </c>
      <c r="AH331" s="149">
        <v>36.9</v>
      </c>
      <c r="AI331" s="149">
        <v>0.38600000000000001</v>
      </c>
      <c r="AJ331" s="149">
        <v>35.1</v>
      </c>
      <c r="AK331" s="148">
        <v>76.3</v>
      </c>
    </row>
    <row r="332" spans="1:37">
      <c r="A332" s="147" t="s">
        <v>337</v>
      </c>
      <c r="B332" s="146">
        <v>449.6</v>
      </c>
      <c r="C332" s="146">
        <v>152.4</v>
      </c>
      <c r="D332" s="146">
        <v>7.6</v>
      </c>
      <c r="E332" s="146">
        <v>10.8</v>
      </c>
      <c r="F332" s="146">
        <v>12.7</v>
      </c>
      <c r="G332" s="146">
        <v>402.6</v>
      </c>
      <c r="H332" s="146">
        <v>21430</v>
      </c>
      <c r="I332" s="146">
        <v>639</v>
      </c>
      <c r="J332" s="146">
        <v>953</v>
      </c>
      <c r="K332" s="146">
        <v>83.9</v>
      </c>
      <c r="L332" s="146">
        <v>1100</v>
      </c>
      <c r="M332" s="146">
        <v>133</v>
      </c>
      <c r="N332" s="145">
        <v>66.8</v>
      </c>
      <c r="O332" s="147" t="s">
        <v>337</v>
      </c>
      <c r="P332" s="146">
        <v>52.5</v>
      </c>
      <c r="Q332" s="146">
        <v>449.6</v>
      </c>
      <c r="R332" s="146">
        <v>152.4</v>
      </c>
      <c r="S332" s="146">
        <v>7.6</v>
      </c>
      <c r="T332" s="146">
        <v>10.8</v>
      </c>
      <c r="U332" s="146">
        <v>12.7</v>
      </c>
      <c r="V332" s="146">
        <v>402.6</v>
      </c>
      <c r="W332" s="146">
        <v>7.06</v>
      </c>
      <c r="X332" s="146">
        <v>53</v>
      </c>
      <c r="Y332" s="146">
        <v>21430</v>
      </c>
      <c r="Z332" s="146">
        <v>639</v>
      </c>
      <c r="AA332" s="146">
        <v>17.899999999999999</v>
      </c>
      <c r="AB332" s="146">
        <v>3.09</v>
      </c>
      <c r="AC332" s="146">
        <v>953</v>
      </c>
      <c r="AD332" s="146">
        <v>83.9</v>
      </c>
      <c r="AE332" s="146">
        <v>1100</v>
      </c>
      <c r="AF332" s="146">
        <v>133</v>
      </c>
      <c r="AG332" s="146">
        <v>0.85899999999999999</v>
      </c>
      <c r="AH332" s="146">
        <v>43.1</v>
      </c>
      <c r="AI332" s="146">
        <v>0.308</v>
      </c>
      <c r="AJ332" s="146">
        <v>22.2</v>
      </c>
      <c r="AK332" s="145">
        <v>66.8</v>
      </c>
    </row>
    <row r="333" spans="1:37">
      <c r="A333" s="150" t="s">
        <v>336</v>
      </c>
      <c r="B333" s="149">
        <v>417.3</v>
      </c>
      <c r="C333" s="149">
        <v>180.8</v>
      </c>
      <c r="D333" s="149">
        <v>10.9</v>
      </c>
      <c r="E333" s="149">
        <v>18.2</v>
      </c>
      <c r="F333" s="149">
        <v>11.5</v>
      </c>
      <c r="G333" s="149">
        <v>357.9</v>
      </c>
      <c r="H333" s="149">
        <v>31640</v>
      </c>
      <c r="I333" s="149">
        <v>1798</v>
      </c>
      <c r="J333" s="149">
        <v>1517</v>
      </c>
      <c r="K333" s="149">
        <v>199</v>
      </c>
      <c r="L333" s="149">
        <v>1730</v>
      </c>
      <c r="M333" s="149">
        <v>310</v>
      </c>
      <c r="N333" s="148">
        <v>108</v>
      </c>
      <c r="O333" s="150" t="s">
        <v>336</v>
      </c>
      <c r="P333" s="149">
        <v>85.1</v>
      </c>
      <c r="Q333" s="149">
        <v>417.3</v>
      </c>
      <c r="R333" s="149">
        <v>180.8</v>
      </c>
      <c r="S333" s="149">
        <v>10.9</v>
      </c>
      <c r="T333" s="149">
        <v>18.2</v>
      </c>
      <c r="U333" s="149">
        <v>11.5</v>
      </c>
      <c r="V333" s="149">
        <v>357.9</v>
      </c>
      <c r="W333" s="149">
        <v>4.97</v>
      </c>
      <c r="X333" s="149">
        <v>32.799999999999997</v>
      </c>
      <c r="Y333" s="149">
        <v>31640</v>
      </c>
      <c r="Z333" s="149">
        <v>1798</v>
      </c>
      <c r="AA333" s="149">
        <v>17.100000000000001</v>
      </c>
      <c r="AB333" s="149">
        <v>4.07</v>
      </c>
      <c r="AC333" s="149">
        <v>1517</v>
      </c>
      <c r="AD333" s="149">
        <v>199</v>
      </c>
      <c r="AE333" s="149">
        <v>1730</v>
      </c>
      <c r="AF333" s="149">
        <v>310</v>
      </c>
      <c r="AG333" s="149">
        <v>0.88100000000000001</v>
      </c>
      <c r="AH333" s="149">
        <v>24.3</v>
      </c>
      <c r="AI333" s="149">
        <v>0.71599999999999997</v>
      </c>
      <c r="AJ333" s="149">
        <v>93.9</v>
      </c>
      <c r="AK333" s="148">
        <v>108</v>
      </c>
    </row>
    <row r="334" spans="1:37">
      <c r="A334" s="150" t="s">
        <v>335</v>
      </c>
      <c r="B334" s="149">
        <v>413</v>
      </c>
      <c r="C334" s="149">
        <v>179.6</v>
      </c>
      <c r="D334" s="149">
        <v>9.6999999999999993</v>
      </c>
      <c r="E334" s="149">
        <v>16</v>
      </c>
      <c r="F334" s="149">
        <v>11.5</v>
      </c>
      <c r="G334" s="149">
        <v>358</v>
      </c>
      <c r="H334" s="149">
        <v>27530</v>
      </c>
      <c r="I334" s="149">
        <v>1548</v>
      </c>
      <c r="J334" s="149">
        <v>1333</v>
      </c>
      <c r="K334" s="149">
        <v>172</v>
      </c>
      <c r="L334" s="149">
        <v>1514</v>
      </c>
      <c r="M334" s="149">
        <v>268</v>
      </c>
      <c r="N334" s="148">
        <v>95.6</v>
      </c>
      <c r="O334" s="150" t="s">
        <v>335</v>
      </c>
      <c r="P334" s="149">
        <v>75</v>
      </c>
      <c r="Q334" s="149">
        <v>413</v>
      </c>
      <c r="R334" s="149">
        <v>179.6</v>
      </c>
      <c r="S334" s="149">
        <v>9.6999999999999993</v>
      </c>
      <c r="T334" s="149">
        <v>16</v>
      </c>
      <c r="U334" s="149">
        <v>11.5</v>
      </c>
      <c r="V334" s="149">
        <v>358</v>
      </c>
      <c r="W334" s="149">
        <v>5.61</v>
      </c>
      <c r="X334" s="149">
        <v>36.9</v>
      </c>
      <c r="Y334" s="149">
        <v>27530</v>
      </c>
      <c r="Z334" s="149">
        <v>1548</v>
      </c>
      <c r="AA334" s="149">
        <v>17</v>
      </c>
      <c r="AB334" s="149">
        <v>4.03</v>
      </c>
      <c r="AC334" s="149">
        <v>1333</v>
      </c>
      <c r="AD334" s="149">
        <v>172</v>
      </c>
      <c r="AE334" s="149">
        <v>1514</v>
      </c>
      <c r="AF334" s="149">
        <v>268</v>
      </c>
      <c r="AG334" s="149">
        <v>0.88100000000000001</v>
      </c>
      <c r="AH334" s="149">
        <v>27.3</v>
      </c>
      <c r="AI334" s="149">
        <v>0.61</v>
      </c>
      <c r="AJ334" s="149">
        <v>64.7</v>
      </c>
      <c r="AK334" s="148">
        <v>95.6</v>
      </c>
    </row>
    <row r="335" spans="1:37">
      <c r="A335" s="150" t="s">
        <v>334</v>
      </c>
      <c r="B335" s="149">
        <v>409.7</v>
      </c>
      <c r="C335" s="149">
        <v>178.7</v>
      </c>
      <c r="D335" s="149">
        <v>8.8000000000000007</v>
      </c>
      <c r="E335" s="149">
        <v>14.4</v>
      </c>
      <c r="F335" s="149">
        <v>11.5</v>
      </c>
      <c r="G335" s="149">
        <v>357.9</v>
      </c>
      <c r="H335" s="149">
        <v>24570</v>
      </c>
      <c r="I335" s="149">
        <v>1372</v>
      </c>
      <c r="J335" s="149">
        <v>1199</v>
      </c>
      <c r="K335" s="149">
        <v>154</v>
      </c>
      <c r="L335" s="149">
        <v>1358</v>
      </c>
      <c r="M335" s="149">
        <v>238</v>
      </c>
      <c r="N335" s="148">
        <v>86.1</v>
      </c>
      <c r="O335" s="150" t="s">
        <v>334</v>
      </c>
      <c r="P335" s="149">
        <v>67.599999999999994</v>
      </c>
      <c r="Q335" s="149">
        <v>409.7</v>
      </c>
      <c r="R335" s="149">
        <v>178.7</v>
      </c>
      <c r="S335" s="149">
        <v>8.8000000000000007</v>
      </c>
      <c r="T335" s="149">
        <v>14.4</v>
      </c>
      <c r="U335" s="149">
        <v>11.5</v>
      </c>
      <c r="V335" s="149">
        <v>357.9</v>
      </c>
      <c r="W335" s="149">
        <v>6.2</v>
      </c>
      <c r="X335" s="149">
        <v>40.700000000000003</v>
      </c>
      <c r="Y335" s="149">
        <v>24570</v>
      </c>
      <c r="Z335" s="149">
        <v>1372</v>
      </c>
      <c r="AA335" s="149">
        <v>16.899999999999999</v>
      </c>
      <c r="AB335" s="149">
        <v>3.99</v>
      </c>
      <c r="AC335" s="149">
        <v>1199</v>
      </c>
      <c r="AD335" s="149">
        <v>154</v>
      </c>
      <c r="AE335" s="149">
        <v>1358</v>
      </c>
      <c r="AF335" s="149">
        <v>238</v>
      </c>
      <c r="AG335" s="149">
        <v>0.88</v>
      </c>
      <c r="AH335" s="149">
        <v>30.1</v>
      </c>
      <c r="AI335" s="149">
        <v>0.53600000000000003</v>
      </c>
      <c r="AJ335" s="149">
        <v>47.7</v>
      </c>
      <c r="AK335" s="148">
        <v>86.1</v>
      </c>
    </row>
    <row r="336" spans="1:37">
      <c r="A336" s="150" t="s">
        <v>333</v>
      </c>
      <c r="B336" s="149">
        <v>406.7</v>
      </c>
      <c r="C336" s="149">
        <v>177.7</v>
      </c>
      <c r="D336" s="149">
        <v>7.7</v>
      </c>
      <c r="E336" s="149">
        <v>12.8</v>
      </c>
      <c r="F336" s="149">
        <v>11.5</v>
      </c>
      <c r="G336" s="149">
        <v>358.1</v>
      </c>
      <c r="H336" s="149">
        <v>21600</v>
      </c>
      <c r="I336" s="149">
        <v>1199</v>
      </c>
      <c r="J336" s="149">
        <v>1062</v>
      </c>
      <c r="K336" s="149">
        <v>135</v>
      </c>
      <c r="L336" s="149">
        <v>1197</v>
      </c>
      <c r="M336" s="149">
        <v>208</v>
      </c>
      <c r="N336" s="148">
        <v>76</v>
      </c>
      <c r="O336" s="150" t="s">
        <v>333</v>
      </c>
      <c r="P336" s="149">
        <v>59.6</v>
      </c>
      <c r="Q336" s="149">
        <v>406.7</v>
      </c>
      <c r="R336" s="149">
        <v>177.7</v>
      </c>
      <c r="S336" s="149">
        <v>7.7</v>
      </c>
      <c r="T336" s="149">
        <v>12.8</v>
      </c>
      <c r="U336" s="149">
        <v>11.5</v>
      </c>
      <c r="V336" s="149">
        <v>358.1</v>
      </c>
      <c r="W336" s="149">
        <v>6.94</v>
      </c>
      <c r="X336" s="149">
        <v>46.5</v>
      </c>
      <c r="Y336" s="149">
        <v>21600</v>
      </c>
      <c r="Z336" s="149">
        <v>1199</v>
      </c>
      <c r="AA336" s="149">
        <v>16.899999999999999</v>
      </c>
      <c r="AB336" s="149">
        <v>3.97</v>
      </c>
      <c r="AC336" s="149">
        <v>1062</v>
      </c>
      <c r="AD336" s="149">
        <v>135</v>
      </c>
      <c r="AE336" s="149">
        <v>1197</v>
      </c>
      <c r="AF336" s="149">
        <v>208</v>
      </c>
      <c r="AG336" s="149">
        <v>0.88200000000000001</v>
      </c>
      <c r="AH336" s="149">
        <v>33.6</v>
      </c>
      <c r="AI336" s="149">
        <v>0.46500000000000002</v>
      </c>
      <c r="AJ336" s="149">
        <v>33.4</v>
      </c>
      <c r="AK336" s="148">
        <v>76</v>
      </c>
    </row>
    <row r="337" spans="1:37">
      <c r="A337" s="150" t="s">
        <v>332</v>
      </c>
      <c r="B337" s="149">
        <v>402.8</v>
      </c>
      <c r="C337" s="149">
        <v>177.4</v>
      </c>
      <c r="D337" s="149">
        <v>7.5</v>
      </c>
      <c r="E337" s="149">
        <v>10.9</v>
      </c>
      <c r="F337" s="149">
        <v>11.5</v>
      </c>
      <c r="G337" s="149">
        <v>358</v>
      </c>
      <c r="H337" s="149">
        <v>18710</v>
      </c>
      <c r="I337" s="149">
        <v>1016</v>
      </c>
      <c r="J337" s="149">
        <v>929</v>
      </c>
      <c r="K337" s="149">
        <v>115</v>
      </c>
      <c r="L337" s="149">
        <v>1051</v>
      </c>
      <c r="M337" s="149">
        <v>178</v>
      </c>
      <c r="N337" s="148">
        <v>68.400000000000006</v>
      </c>
      <c r="O337" s="150" t="s">
        <v>332</v>
      </c>
      <c r="P337" s="149">
        <v>53.7</v>
      </c>
      <c r="Q337" s="149">
        <v>402.8</v>
      </c>
      <c r="R337" s="149">
        <v>177.4</v>
      </c>
      <c r="S337" s="149">
        <v>7.5</v>
      </c>
      <c r="T337" s="149">
        <v>10.9</v>
      </c>
      <c r="U337" s="149">
        <v>11.5</v>
      </c>
      <c r="V337" s="149">
        <v>358</v>
      </c>
      <c r="W337" s="149">
        <v>8.14</v>
      </c>
      <c r="X337" s="149">
        <v>47.7</v>
      </c>
      <c r="Y337" s="149">
        <v>18710</v>
      </c>
      <c r="Z337" s="149">
        <v>1016</v>
      </c>
      <c r="AA337" s="149">
        <v>16.5</v>
      </c>
      <c r="AB337" s="149">
        <v>3.85</v>
      </c>
      <c r="AC337" s="149">
        <v>929</v>
      </c>
      <c r="AD337" s="149">
        <v>115</v>
      </c>
      <c r="AE337" s="149">
        <v>1051</v>
      </c>
      <c r="AF337" s="149">
        <v>178</v>
      </c>
      <c r="AG337" s="149">
        <v>0.873</v>
      </c>
      <c r="AH337" s="149">
        <v>38.1</v>
      </c>
      <c r="AI337" s="149">
        <v>0.39</v>
      </c>
      <c r="AJ337" s="149">
        <v>23.2</v>
      </c>
      <c r="AK337" s="148">
        <v>68.400000000000006</v>
      </c>
    </row>
    <row r="338" spans="1:37" ht="15.6">
      <c r="A338" s="150" t="s">
        <v>331</v>
      </c>
      <c r="B338" s="149">
        <v>403.4</v>
      </c>
      <c r="C338" s="149">
        <v>140.30000000000001</v>
      </c>
      <c r="D338" s="149">
        <v>7</v>
      </c>
      <c r="E338" s="149">
        <v>11.1</v>
      </c>
      <c r="F338" s="149">
        <v>12.7</v>
      </c>
      <c r="G338" s="149">
        <v>355.8</v>
      </c>
      <c r="H338" s="149">
        <v>15710</v>
      </c>
      <c r="I338" s="149">
        <v>513</v>
      </c>
      <c r="J338" s="149">
        <v>779</v>
      </c>
      <c r="K338" s="149">
        <v>73.099999999999994</v>
      </c>
      <c r="L338" s="149">
        <v>891</v>
      </c>
      <c r="M338" s="149">
        <v>115</v>
      </c>
      <c r="N338" s="148">
        <v>59.2</v>
      </c>
      <c r="O338" s="150" t="s">
        <v>331</v>
      </c>
      <c r="P338" s="149">
        <v>46.5</v>
      </c>
      <c r="Q338" s="149">
        <v>403.4</v>
      </c>
      <c r="R338" s="149">
        <v>140.30000000000001</v>
      </c>
      <c r="S338" s="149">
        <v>7</v>
      </c>
      <c r="T338" s="149">
        <v>11.1</v>
      </c>
      <c r="U338" s="149">
        <v>12.7</v>
      </c>
      <c r="V338" s="149">
        <v>355.8</v>
      </c>
      <c r="W338" s="149">
        <v>6.32</v>
      </c>
      <c r="X338" s="149">
        <v>50.8</v>
      </c>
      <c r="Y338" s="149">
        <v>15710</v>
      </c>
      <c r="Z338" s="149">
        <v>513</v>
      </c>
      <c r="AA338" s="149">
        <v>16.3</v>
      </c>
      <c r="AB338" s="149">
        <v>2.94</v>
      </c>
      <c r="AC338" s="149">
        <v>779</v>
      </c>
      <c r="AD338" s="149">
        <v>73.099999999999994</v>
      </c>
      <c r="AE338" s="149">
        <v>891</v>
      </c>
      <c r="AF338" s="149">
        <v>115</v>
      </c>
      <c r="AG338" s="149">
        <v>0.86899999999999999</v>
      </c>
      <c r="AH338" s="149">
        <v>38.1</v>
      </c>
      <c r="AI338" s="149">
        <v>0.19700000000000001</v>
      </c>
      <c r="AJ338" s="149">
        <v>20.100000000000001</v>
      </c>
      <c r="AK338" s="148">
        <v>59.2</v>
      </c>
    </row>
    <row r="339" spans="1:37" ht="15.6">
      <c r="A339" s="147" t="s">
        <v>330</v>
      </c>
      <c r="B339" s="146">
        <v>398.5</v>
      </c>
      <c r="C339" s="146">
        <v>139.69999999999999</v>
      </c>
      <c r="D339" s="146">
        <v>6.4</v>
      </c>
      <c r="E339" s="146">
        <v>8.8000000000000007</v>
      </c>
      <c r="F339" s="146">
        <v>12.7</v>
      </c>
      <c r="G339" s="146">
        <v>355.5</v>
      </c>
      <c r="H339" s="146">
        <v>12770</v>
      </c>
      <c r="I339" s="146">
        <v>401</v>
      </c>
      <c r="J339" s="146">
        <v>641</v>
      </c>
      <c r="K339" s="146">
        <v>57.4</v>
      </c>
      <c r="L339" s="146">
        <v>737</v>
      </c>
      <c r="M339" s="146">
        <v>90.6</v>
      </c>
      <c r="N339" s="145">
        <v>50.3</v>
      </c>
      <c r="O339" s="147" t="s">
        <v>330</v>
      </c>
      <c r="P339" s="146">
        <v>39.5</v>
      </c>
      <c r="Q339" s="146">
        <v>398.5</v>
      </c>
      <c r="R339" s="146">
        <v>139.69999999999999</v>
      </c>
      <c r="S339" s="146">
        <v>6.4</v>
      </c>
      <c r="T339" s="146">
        <v>8.8000000000000007</v>
      </c>
      <c r="U339" s="146">
        <v>12.7</v>
      </c>
      <c r="V339" s="146">
        <v>355.5</v>
      </c>
      <c r="W339" s="146">
        <v>7.94</v>
      </c>
      <c r="X339" s="146">
        <v>55.5</v>
      </c>
      <c r="Y339" s="146">
        <v>12770</v>
      </c>
      <c r="Z339" s="146">
        <v>401</v>
      </c>
      <c r="AA339" s="146">
        <v>15.9</v>
      </c>
      <c r="AB339" s="146">
        <v>2.82</v>
      </c>
      <c r="AC339" s="146">
        <v>641</v>
      </c>
      <c r="AD339" s="146">
        <v>57.4</v>
      </c>
      <c r="AE339" s="146">
        <v>737</v>
      </c>
      <c r="AF339" s="146">
        <v>90.6</v>
      </c>
      <c r="AG339" s="146">
        <v>0.86</v>
      </c>
      <c r="AH339" s="146">
        <v>45.3</v>
      </c>
      <c r="AI339" s="146">
        <v>0.152</v>
      </c>
      <c r="AJ339" s="146">
        <v>12</v>
      </c>
      <c r="AK339" s="145">
        <v>50.3</v>
      </c>
    </row>
    <row r="340" spans="1:37">
      <c r="A340" s="150" t="s">
        <v>329</v>
      </c>
      <c r="B340" s="149">
        <v>569.4</v>
      </c>
      <c r="C340" s="149">
        <v>454.4</v>
      </c>
      <c r="D340" s="149">
        <v>78</v>
      </c>
      <c r="E340" s="149">
        <v>125</v>
      </c>
      <c r="F340" s="149">
        <v>20</v>
      </c>
      <c r="G340" s="149">
        <v>279.39999999999998</v>
      </c>
      <c r="H340" s="149">
        <v>597700</v>
      </c>
      <c r="I340" s="149">
        <v>196800</v>
      </c>
      <c r="J340" s="149">
        <v>20990</v>
      </c>
      <c r="K340" s="149">
        <v>8662</v>
      </c>
      <c r="L340" s="149">
        <v>27280</v>
      </c>
      <c r="M340" s="149">
        <v>13410</v>
      </c>
      <c r="N340" s="148">
        <v>1389</v>
      </c>
      <c r="O340" s="150" t="s">
        <v>329</v>
      </c>
      <c r="P340" s="149">
        <v>1090</v>
      </c>
      <c r="Q340" s="149">
        <v>569.4</v>
      </c>
      <c r="R340" s="149">
        <v>454.4</v>
      </c>
      <c r="S340" s="149">
        <v>78</v>
      </c>
      <c r="T340" s="149">
        <v>125</v>
      </c>
      <c r="U340" s="149">
        <v>20</v>
      </c>
      <c r="V340" s="149">
        <v>279.39999999999998</v>
      </c>
      <c r="W340" s="149">
        <v>1.82</v>
      </c>
      <c r="X340" s="149">
        <v>3.58</v>
      </c>
      <c r="Y340" s="149">
        <v>597700</v>
      </c>
      <c r="Z340" s="149">
        <v>196800</v>
      </c>
      <c r="AA340" s="149">
        <v>20.7</v>
      </c>
      <c r="AB340" s="149">
        <v>11.9</v>
      </c>
      <c r="AC340" s="149">
        <v>20990</v>
      </c>
      <c r="AD340" s="149">
        <v>8662</v>
      </c>
      <c r="AE340" s="149">
        <v>27280</v>
      </c>
      <c r="AF340" s="149">
        <v>13410</v>
      </c>
      <c r="AG340" s="149">
        <v>0.85099999999999998</v>
      </c>
      <c r="AH340" s="149">
        <v>3.79</v>
      </c>
      <c r="AI340" s="149">
        <v>97.2</v>
      </c>
      <c r="AJ340" s="149">
        <v>61290</v>
      </c>
      <c r="AK340" s="148">
        <v>1389</v>
      </c>
    </row>
    <row r="341" spans="1:37">
      <c r="A341" s="150" t="s">
        <v>328</v>
      </c>
      <c r="B341" s="149">
        <v>549.70000000000005</v>
      </c>
      <c r="C341" s="149">
        <v>448.3</v>
      </c>
      <c r="D341" s="149">
        <v>71.900000000000006</v>
      </c>
      <c r="E341" s="149">
        <v>115</v>
      </c>
      <c r="F341" s="149">
        <v>20</v>
      </c>
      <c r="G341" s="149">
        <v>279.7</v>
      </c>
      <c r="H341" s="149">
        <v>518900</v>
      </c>
      <c r="I341" s="149">
        <v>173700</v>
      </c>
      <c r="J341" s="149">
        <v>18880</v>
      </c>
      <c r="K341" s="149">
        <v>7751</v>
      </c>
      <c r="L341" s="149">
        <v>24300</v>
      </c>
      <c r="M341" s="149">
        <v>11980</v>
      </c>
      <c r="N341" s="148">
        <v>1264</v>
      </c>
      <c r="O341" s="150" t="s">
        <v>328</v>
      </c>
      <c r="P341" s="149">
        <v>992.5</v>
      </c>
      <c r="Q341" s="149">
        <v>549.70000000000005</v>
      </c>
      <c r="R341" s="149">
        <v>448.3</v>
      </c>
      <c r="S341" s="149">
        <v>71.900000000000006</v>
      </c>
      <c r="T341" s="149">
        <v>115</v>
      </c>
      <c r="U341" s="149">
        <v>20</v>
      </c>
      <c r="V341" s="149">
        <v>279.7</v>
      </c>
      <c r="W341" s="149">
        <v>1.95</v>
      </c>
      <c r="X341" s="149">
        <v>3.89</v>
      </c>
      <c r="Y341" s="149">
        <v>518900</v>
      </c>
      <c r="Z341" s="149">
        <v>173700</v>
      </c>
      <c r="AA341" s="149">
        <v>20.3</v>
      </c>
      <c r="AB341" s="149">
        <v>11.7</v>
      </c>
      <c r="AC341" s="149">
        <v>18880</v>
      </c>
      <c r="AD341" s="149">
        <v>7751</v>
      </c>
      <c r="AE341" s="149">
        <v>24300</v>
      </c>
      <c r="AF341" s="149">
        <v>11980</v>
      </c>
      <c r="AG341" s="149">
        <v>0.84899999999999998</v>
      </c>
      <c r="AH341" s="149">
        <v>4.01</v>
      </c>
      <c r="AI341" s="149">
        <v>82.1</v>
      </c>
      <c r="AJ341" s="149">
        <v>47520</v>
      </c>
      <c r="AK341" s="148">
        <v>1264</v>
      </c>
    </row>
    <row r="342" spans="1:37">
      <c r="A342" s="150" t="s">
        <v>327</v>
      </c>
      <c r="B342" s="149">
        <v>531.4</v>
      </c>
      <c r="C342" s="149">
        <v>442.3</v>
      </c>
      <c r="D342" s="149">
        <v>65.900000000000006</v>
      </c>
      <c r="E342" s="149">
        <v>106</v>
      </c>
      <c r="F342" s="149">
        <v>20</v>
      </c>
      <c r="G342" s="149">
        <v>279.39999999999998</v>
      </c>
      <c r="H342" s="149">
        <v>451700</v>
      </c>
      <c r="I342" s="149">
        <v>153700</v>
      </c>
      <c r="J342" s="149">
        <v>17000</v>
      </c>
      <c r="K342" s="149">
        <v>6949</v>
      </c>
      <c r="L342" s="149">
        <v>21680</v>
      </c>
      <c r="M342" s="149">
        <v>10730</v>
      </c>
      <c r="N342" s="148">
        <v>1152</v>
      </c>
      <c r="O342" s="150" t="s">
        <v>327</v>
      </c>
      <c r="P342" s="149">
        <v>904</v>
      </c>
      <c r="Q342" s="149">
        <v>531.4</v>
      </c>
      <c r="R342" s="149">
        <v>442.3</v>
      </c>
      <c r="S342" s="149">
        <v>65.900000000000006</v>
      </c>
      <c r="T342" s="149">
        <v>106</v>
      </c>
      <c r="U342" s="149">
        <v>20</v>
      </c>
      <c r="V342" s="149">
        <v>279.39999999999998</v>
      </c>
      <c r="W342" s="149">
        <v>2.09</v>
      </c>
      <c r="X342" s="149">
        <v>4.24</v>
      </c>
      <c r="Y342" s="149">
        <v>451700</v>
      </c>
      <c r="Z342" s="149">
        <v>153700</v>
      </c>
      <c r="AA342" s="149">
        <v>19.8</v>
      </c>
      <c r="AB342" s="149">
        <v>11.6</v>
      </c>
      <c r="AC342" s="149">
        <v>17000</v>
      </c>
      <c r="AD342" s="149">
        <v>6949</v>
      </c>
      <c r="AE342" s="149">
        <v>21680</v>
      </c>
      <c r="AF342" s="149">
        <v>10730</v>
      </c>
      <c r="AG342" s="149">
        <v>0.84799999999999998</v>
      </c>
      <c r="AH342" s="149">
        <v>4.25</v>
      </c>
      <c r="AI342" s="149">
        <v>69.5</v>
      </c>
      <c r="AJ342" s="149">
        <v>36910</v>
      </c>
      <c r="AK342" s="148">
        <v>1152</v>
      </c>
    </row>
    <row r="343" spans="1:37">
      <c r="A343" s="150" t="s">
        <v>326</v>
      </c>
      <c r="B343" s="149">
        <v>514.1</v>
      </c>
      <c r="C343" s="149">
        <v>436.9</v>
      </c>
      <c r="D343" s="149">
        <v>60.5</v>
      </c>
      <c r="E343" s="149">
        <v>97</v>
      </c>
      <c r="F343" s="149">
        <v>20</v>
      </c>
      <c r="G343" s="149">
        <v>280.10000000000002</v>
      </c>
      <c r="H343" s="149">
        <v>392700</v>
      </c>
      <c r="I343" s="149">
        <v>135500</v>
      </c>
      <c r="J343" s="149">
        <v>15280</v>
      </c>
      <c r="K343" s="149">
        <v>6201</v>
      </c>
      <c r="L343" s="149">
        <v>19280</v>
      </c>
      <c r="M343" s="149">
        <v>9563</v>
      </c>
      <c r="N343" s="148">
        <v>1045</v>
      </c>
      <c r="O343" s="150" t="s">
        <v>326</v>
      </c>
      <c r="P343" s="149">
        <v>820.1</v>
      </c>
      <c r="Q343" s="149">
        <v>514.1</v>
      </c>
      <c r="R343" s="149">
        <v>436.9</v>
      </c>
      <c r="S343" s="149">
        <v>60.5</v>
      </c>
      <c r="T343" s="149">
        <v>97</v>
      </c>
      <c r="U343" s="149">
        <v>20</v>
      </c>
      <c r="V343" s="149">
        <v>280.10000000000002</v>
      </c>
      <c r="W343" s="149">
        <v>2.25</v>
      </c>
      <c r="X343" s="149">
        <v>4.63</v>
      </c>
      <c r="Y343" s="149">
        <v>392700</v>
      </c>
      <c r="Z343" s="149">
        <v>135500</v>
      </c>
      <c r="AA343" s="149">
        <v>19.399999999999999</v>
      </c>
      <c r="AB343" s="149">
        <v>11.4</v>
      </c>
      <c r="AC343" s="149">
        <v>15280</v>
      </c>
      <c r="AD343" s="149">
        <v>6201</v>
      </c>
      <c r="AE343" s="149">
        <v>19280</v>
      </c>
      <c r="AF343" s="149">
        <v>9563</v>
      </c>
      <c r="AG343" s="149">
        <v>0.84599999999999997</v>
      </c>
      <c r="AH343" s="149">
        <v>4.54</v>
      </c>
      <c r="AI343" s="149">
        <v>58.9</v>
      </c>
      <c r="AJ343" s="149">
        <v>28210</v>
      </c>
      <c r="AK343" s="148">
        <v>1045</v>
      </c>
    </row>
    <row r="344" spans="1:37">
      <c r="A344" s="150" t="s">
        <v>325</v>
      </c>
      <c r="B344" s="149">
        <v>497.8</v>
      </c>
      <c r="C344" s="149">
        <v>432.1</v>
      </c>
      <c r="D344" s="149">
        <v>55.6</v>
      </c>
      <c r="E344" s="149">
        <v>88.9</v>
      </c>
      <c r="F344" s="149">
        <v>20</v>
      </c>
      <c r="G344" s="149">
        <v>280</v>
      </c>
      <c r="H344" s="149">
        <v>342200</v>
      </c>
      <c r="I344" s="149">
        <v>120000</v>
      </c>
      <c r="J344" s="149">
        <v>13750</v>
      </c>
      <c r="K344" s="149">
        <v>5556</v>
      </c>
      <c r="L344" s="149">
        <v>17180</v>
      </c>
      <c r="M344" s="149">
        <v>8558</v>
      </c>
      <c r="N344" s="148">
        <v>950</v>
      </c>
      <c r="O344" s="150" t="s">
        <v>325</v>
      </c>
      <c r="P344" s="149">
        <v>745.5</v>
      </c>
      <c r="Q344" s="149">
        <v>497.8</v>
      </c>
      <c r="R344" s="149">
        <v>432.1</v>
      </c>
      <c r="S344" s="149">
        <v>55.6</v>
      </c>
      <c r="T344" s="149">
        <v>88.9</v>
      </c>
      <c r="U344" s="149">
        <v>20</v>
      </c>
      <c r="V344" s="149">
        <v>280</v>
      </c>
      <c r="W344" s="149">
        <v>2.4300000000000002</v>
      </c>
      <c r="X344" s="149">
        <v>5.04</v>
      </c>
      <c r="Y344" s="149">
        <v>342200</v>
      </c>
      <c r="Z344" s="149">
        <v>120000</v>
      </c>
      <c r="AA344" s="149">
        <v>19</v>
      </c>
      <c r="AB344" s="149">
        <v>11.2</v>
      </c>
      <c r="AC344" s="149">
        <v>13750</v>
      </c>
      <c r="AD344" s="149">
        <v>5556</v>
      </c>
      <c r="AE344" s="149">
        <v>17180</v>
      </c>
      <c r="AF344" s="149">
        <v>8558</v>
      </c>
      <c r="AG344" s="149">
        <v>0.84399999999999997</v>
      </c>
      <c r="AH344" s="149">
        <v>4.8499999999999996</v>
      </c>
      <c r="AI344" s="149">
        <v>50.2</v>
      </c>
      <c r="AJ344" s="149">
        <v>21670</v>
      </c>
      <c r="AK344" s="148">
        <v>950</v>
      </c>
    </row>
    <row r="345" spans="1:37">
      <c r="A345" s="150" t="s">
        <v>324</v>
      </c>
      <c r="B345" s="149">
        <v>483.1</v>
      </c>
      <c r="C345" s="149">
        <v>427.6</v>
      </c>
      <c r="D345" s="149">
        <v>51.2</v>
      </c>
      <c r="E345" s="149">
        <v>81.5</v>
      </c>
      <c r="F345" s="149">
        <v>20</v>
      </c>
      <c r="G345" s="149">
        <v>280.10000000000002</v>
      </c>
      <c r="H345" s="149">
        <v>299700</v>
      </c>
      <c r="I345" s="149">
        <v>106600</v>
      </c>
      <c r="J345" s="149">
        <v>12410</v>
      </c>
      <c r="K345" s="149">
        <v>4985</v>
      </c>
      <c r="L345" s="149">
        <v>15360</v>
      </c>
      <c r="M345" s="149">
        <v>7671</v>
      </c>
      <c r="N345" s="148">
        <v>864</v>
      </c>
      <c r="O345" s="150" t="s">
        <v>324</v>
      </c>
      <c r="P345" s="149">
        <v>678.5</v>
      </c>
      <c r="Q345" s="149">
        <v>483.1</v>
      </c>
      <c r="R345" s="149">
        <v>427.6</v>
      </c>
      <c r="S345" s="149">
        <v>51.2</v>
      </c>
      <c r="T345" s="149">
        <v>81.5</v>
      </c>
      <c r="U345" s="149">
        <v>20</v>
      </c>
      <c r="V345" s="149">
        <v>280.10000000000002</v>
      </c>
      <c r="W345" s="149">
        <v>2.62</v>
      </c>
      <c r="X345" s="149">
        <v>5.47</v>
      </c>
      <c r="Y345" s="149">
        <v>299700</v>
      </c>
      <c r="Z345" s="149">
        <v>106600</v>
      </c>
      <c r="AA345" s="149">
        <v>18.600000000000001</v>
      </c>
      <c r="AB345" s="149">
        <v>11.1</v>
      </c>
      <c r="AC345" s="149">
        <v>12410</v>
      </c>
      <c r="AD345" s="149">
        <v>4985</v>
      </c>
      <c r="AE345" s="149">
        <v>15360</v>
      </c>
      <c r="AF345" s="149">
        <v>7671</v>
      </c>
      <c r="AG345" s="149">
        <v>0.84299999999999997</v>
      </c>
      <c r="AH345" s="149">
        <v>5.18</v>
      </c>
      <c r="AI345" s="149">
        <v>43</v>
      </c>
      <c r="AJ345" s="149">
        <v>16670</v>
      </c>
      <c r="AK345" s="148">
        <v>864</v>
      </c>
    </row>
    <row r="346" spans="1:37">
      <c r="A346" s="150" t="s">
        <v>323</v>
      </c>
      <c r="B346" s="149">
        <v>474.2</v>
      </c>
      <c r="C346" s="149">
        <v>424.1</v>
      </c>
      <c r="D346" s="149">
        <v>47.6</v>
      </c>
      <c r="E346" s="149">
        <v>77.099999999999994</v>
      </c>
      <c r="F346" s="149">
        <v>20</v>
      </c>
      <c r="G346" s="149">
        <v>280</v>
      </c>
      <c r="H346" s="149">
        <v>274900</v>
      </c>
      <c r="I346" s="149">
        <v>98330</v>
      </c>
      <c r="J346" s="149">
        <v>11590</v>
      </c>
      <c r="K346" s="149">
        <v>4637</v>
      </c>
      <c r="L346" s="149">
        <v>14260</v>
      </c>
      <c r="M346" s="149">
        <v>7125</v>
      </c>
      <c r="N346" s="148">
        <v>810</v>
      </c>
      <c r="O346" s="150" t="s">
        <v>323</v>
      </c>
      <c r="P346" s="149">
        <v>635.6</v>
      </c>
      <c r="Q346" s="149">
        <v>474.2</v>
      </c>
      <c r="R346" s="149">
        <v>424.1</v>
      </c>
      <c r="S346" s="149">
        <v>47.6</v>
      </c>
      <c r="T346" s="149">
        <v>77.099999999999994</v>
      </c>
      <c r="U346" s="149">
        <v>20</v>
      </c>
      <c r="V346" s="149">
        <v>280</v>
      </c>
      <c r="W346" s="149">
        <v>2.75</v>
      </c>
      <c r="X346" s="149">
        <v>5.88</v>
      </c>
      <c r="Y346" s="149">
        <v>274900</v>
      </c>
      <c r="Z346" s="149">
        <v>98330</v>
      </c>
      <c r="AA346" s="149">
        <v>18.399999999999999</v>
      </c>
      <c r="AB346" s="149">
        <v>11</v>
      </c>
      <c r="AC346" s="149">
        <v>11590</v>
      </c>
      <c r="AD346" s="149">
        <v>4637</v>
      </c>
      <c r="AE346" s="149">
        <v>14260</v>
      </c>
      <c r="AF346" s="149">
        <v>7125</v>
      </c>
      <c r="AG346" s="149">
        <v>0.84299999999999997</v>
      </c>
      <c r="AH346" s="149">
        <v>5.41</v>
      </c>
      <c r="AI346" s="149">
        <v>38.799999999999997</v>
      </c>
      <c r="AJ346" s="149">
        <v>13960</v>
      </c>
      <c r="AK346" s="148">
        <v>810</v>
      </c>
    </row>
    <row r="347" spans="1:37">
      <c r="A347" s="150" t="s">
        <v>322</v>
      </c>
      <c r="B347" s="149">
        <v>464.6</v>
      </c>
      <c r="C347" s="149">
        <v>421.4</v>
      </c>
      <c r="D347" s="149">
        <v>45</v>
      </c>
      <c r="E347" s="149">
        <v>72.3</v>
      </c>
      <c r="F347" s="149">
        <v>20</v>
      </c>
      <c r="G347" s="149">
        <v>280</v>
      </c>
      <c r="H347" s="149">
        <v>250200</v>
      </c>
      <c r="I347" s="149">
        <v>90440</v>
      </c>
      <c r="J347" s="149">
        <v>10770</v>
      </c>
      <c r="K347" s="149">
        <v>4292</v>
      </c>
      <c r="L347" s="149">
        <v>13160</v>
      </c>
      <c r="M347" s="149">
        <v>6591</v>
      </c>
      <c r="N347" s="148">
        <v>757</v>
      </c>
      <c r="O347" s="150" t="s">
        <v>322</v>
      </c>
      <c r="P347" s="149">
        <v>594.1</v>
      </c>
      <c r="Q347" s="149">
        <v>464.6</v>
      </c>
      <c r="R347" s="149">
        <v>421.4</v>
      </c>
      <c r="S347" s="149">
        <v>45</v>
      </c>
      <c r="T347" s="149">
        <v>72.3</v>
      </c>
      <c r="U347" s="149">
        <v>20</v>
      </c>
      <c r="V347" s="149">
        <v>280</v>
      </c>
      <c r="W347" s="149">
        <v>2.91</v>
      </c>
      <c r="X347" s="149">
        <v>6.22</v>
      </c>
      <c r="Y347" s="149">
        <v>250200</v>
      </c>
      <c r="Z347" s="149">
        <v>90440</v>
      </c>
      <c r="AA347" s="149">
        <v>18.2</v>
      </c>
      <c r="AB347" s="149">
        <v>10.9</v>
      </c>
      <c r="AC347" s="149">
        <v>10770</v>
      </c>
      <c r="AD347" s="149">
        <v>4292</v>
      </c>
      <c r="AE347" s="149">
        <v>13160</v>
      </c>
      <c r="AF347" s="149">
        <v>6591</v>
      </c>
      <c r="AG347" s="149">
        <v>0.84199999999999997</v>
      </c>
      <c r="AH347" s="149">
        <v>5.69</v>
      </c>
      <c r="AI347" s="149">
        <v>34.799999999999997</v>
      </c>
      <c r="AJ347" s="149">
        <v>11540</v>
      </c>
      <c r="AK347" s="148">
        <v>757</v>
      </c>
    </row>
    <row r="348" spans="1:37">
      <c r="A348" s="150" t="s">
        <v>321</v>
      </c>
      <c r="B348" s="149">
        <v>455.2</v>
      </c>
      <c r="C348" s="149">
        <v>418.4</v>
      </c>
      <c r="D348" s="149">
        <v>42</v>
      </c>
      <c r="E348" s="149">
        <v>67.599999999999994</v>
      </c>
      <c r="F348" s="149">
        <v>20</v>
      </c>
      <c r="G348" s="149">
        <v>280</v>
      </c>
      <c r="H348" s="149">
        <v>226900</v>
      </c>
      <c r="I348" s="149">
        <v>82740</v>
      </c>
      <c r="J348" s="149">
        <v>9970</v>
      </c>
      <c r="K348" s="149">
        <v>3955</v>
      </c>
      <c r="L348" s="149">
        <v>12090</v>
      </c>
      <c r="M348" s="149">
        <v>6067</v>
      </c>
      <c r="N348" s="148">
        <v>704</v>
      </c>
      <c r="O348" s="150" t="s">
        <v>321</v>
      </c>
      <c r="P348" s="149">
        <v>552.29999999999995</v>
      </c>
      <c r="Q348" s="149">
        <v>455.2</v>
      </c>
      <c r="R348" s="149">
        <v>418.4</v>
      </c>
      <c r="S348" s="149">
        <v>42</v>
      </c>
      <c r="T348" s="149">
        <v>67.599999999999994</v>
      </c>
      <c r="U348" s="149">
        <v>20</v>
      </c>
      <c r="V348" s="149">
        <v>280</v>
      </c>
      <c r="W348" s="149">
        <v>3.09</v>
      </c>
      <c r="X348" s="149">
        <v>6.67</v>
      </c>
      <c r="Y348" s="149">
        <v>226900</v>
      </c>
      <c r="Z348" s="149">
        <v>82740</v>
      </c>
      <c r="AA348" s="149">
        <v>18</v>
      </c>
      <c r="AB348" s="149">
        <v>10.8</v>
      </c>
      <c r="AC348" s="149">
        <v>9970</v>
      </c>
      <c r="AD348" s="149">
        <v>3955</v>
      </c>
      <c r="AE348" s="149">
        <v>12090</v>
      </c>
      <c r="AF348" s="149">
        <v>6067</v>
      </c>
      <c r="AG348" s="149">
        <v>0.84099999999999997</v>
      </c>
      <c r="AH348" s="149">
        <v>6</v>
      </c>
      <c r="AI348" s="149">
        <v>31.1</v>
      </c>
      <c r="AJ348" s="149">
        <v>9404</v>
      </c>
      <c r="AK348" s="148">
        <v>704</v>
      </c>
    </row>
    <row r="349" spans="1:37">
      <c r="A349" s="150" t="s">
        <v>320</v>
      </c>
      <c r="B349" s="149">
        <v>445.5</v>
      </c>
      <c r="C349" s="149">
        <v>415.5</v>
      </c>
      <c r="D349" s="149">
        <v>39.1</v>
      </c>
      <c r="E349" s="149">
        <v>62.7</v>
      </c>
      <c r="F349" s="149">
        <v>20</v>
      </c>
      <c r="G349" s="149">
        <v>280.10000000000002</v>
      </c>
      <c r="H349" s="149">
        <v>204100</v>
      </c>
      <c r="I349" s="149">
        <v>75140</v>
      </c>
      <c r="J349" s="149">
        <v>9163</v>
      </c>
      <c r="K349" s="149">
        <v>3617</v>
      </c>
      <c r="L349" s="149">
        <v>11030</v>
      </c>
      <c r="M349" s="149">
        <v>5543</v>
      </c>
      <c r="N349" s="148">
        <v>650</v>
      </c>
      <c r="O349" s="150" t="s">
        <v>320</v>
      </c>
      <c r="P349" s="149">
        <v>510</v>
      </c>
      <c r="Q349" s="149">
        <v>445.5</v>
      </c>
      <c r="R349" s="149">
        <v>415.5</v>
      </c>
      <c r="S349" s="149">
        <v>39.1</v>
      </c>
      <c r="T349" s="149">
        <v>62.7</v>
      </c>
      <c r="U349" s="149">
        <v>20</v>
      </c>
      <c r="V349" s="149">
        <v>280.10000000000002</v>
      </c>
      <c r="W349" s="149">
        <v>3.31</v>
      </c>
      <c r="X349" s="149">
        <v>7.16</v>
      </c>
      <c r="Y349" s="149">
        <v>204100</v>
      </c>
      <c r="Z349" s="149">
        <v>75140</v>
      </c>
      <c r="AA349" s="149">
        <v>17.7</v>
      </c>
      <c r="AB349" s="149">
        <v>10.8</v>
      </c>
      <c r="AC349" s="149">
        <v>9163</v>
      </c>
      <c r="AD349" s="149">
        <v>3617</v>
      </c>
      <c r="AE349" s="149">
        <v>11030</v>
      </c>
      <c r="AF349" s="149">
        <v>5543</v>
      </c>
      <c r="AG349" s="149">
        <v>0.84</v>
      </c>
      <c r="AH349" s="149">
        <v>6.37</v>
      </c>
      <c r="AI349" s="149">
        <v>27.5</v>
      </c>
      <c r="AJ349" s="149">
        <v>7505</v>
      </c>
      <c r="AK349" s="148">
        <v>650</v>
      </c>
    </row>
    <row r="350" spans="1:37">
      <c r="A350" s="150" t="s">
        <v>319</v>
      </c>
      <c r="B350" s="149">
        <v>436.6</v>
      </c>
      <c r="C350" s="149">
        <v>412.2</v>
      </c>
      <c r="D350" s="149">
        <v>35.799999999999997</v>
      </c>
      <c r="E350" s="149">
        <v>57.4</v>
      </c>
      <c r="F350" s="149">
        <v>20</v>
      </c>
      <c r="G350" s="149">
        <v>281.8</v>
      </c>
      <c r="H350" s="149">
        <v>182200</v>
      </c>
      <c r="I350" s="149">
        <v>67140</v>
      </c>
      <c r="J350" s="149">
        <v>8346</v>
      </c>
      <c r="K350" s="149">
        <v>3258</v>
      </c>
      <c r="L350" s="149">
        <v>9953</v>
      </c>
      <c r="M350" s="149">
        <v>4987</v>
      </c>
      <c r="N350" s="148">
        <v>592</v>
      </c>
      <c r="O350" s="150" t="s">
        <v>319</v>
      </c>
      <c r="P350" s="149">
        <v>464.6</v>
      </c>
      <c r="Q350" s="149">
        <v>436.6</v>
      </c>
      <c r="R350" s="149">
        <v>412.2</v>
      </c>
      <c r="S350" s="149">
        <v>35.799999999999997</v>
      </c>
      <c r="T350" s="149">
        <v>57.4</v>
      </c>
      <c r="U350" s="149">
        <v>20</v>
      </c>
      <c r="V350" s="149">
        <v>281.8</v>
      </c>
      <c r="W350" s="149">
        <v>3.59</v>
      </c>
      <c r="X350" s="149">
        <v>7.87</v>
      </c>
      <c r="Y350" s="149">
        <v>182200</v>
      </c>
      <c r="Z350" s="149">
        <v>67140</v>
      </c>
      <c r="AA350" s="149">
        <v>17.5</v>
      </c>
      <c r="AB350" s="149">
        <v>10.7</v>
      </c>
      <c r="AC350" s="149">
        <v>8346</v>
      </c>
      <c r="AD350" s="149">
        <v>3258</v>
      </c>
      <c r="AE350" s="149">
        <v>9953</v>
      </c>
      <c r="AF350" s="149">
        <v>4987</v>
      </c>
      <c r="AG350" s="149">
        <v>0.84</v>
      </c>
      <c r="AH350" s="149">
        <v>6.88</v>
      </c>
      <c r="AI350" s="149">
        <v>24.1</v>
      </c>
      <c r="AJ350" s="149">
        <v>5752</v>
      </c>
      <c r="AK350" s="148">
        <v>592</v>
      </c>
    </row>
    <row r="351" spans="1:37">
      <c r="A351" s="150" t="s">
        <v>318</v>
      </c>
      <c r="B351" s="149">
        <v>425.2</v>
      </c>
      <c r="C351" s="149">
        <v>409.2</v>
      </c>
      <c r="D351" s="149">
        <v>32.799999999999997</v>
      </c>
      <c r="E351" s="149">
        <v>52.6</v>
      </c>
      <c r="F351" s="149">
        <v>20</v>
      </c>
      <c r="G351" s="149">
        <v>280</v>
      </c>
      <c r="H351" s="149">
        <v>160200</v>
      </c>
      <c r="I351" s="149">
        <v>60180</v>
      </c>
      <c r="J351" s="149">
        <v>7535</v>
      </c>
      <c r="K351" s="149">
        <v>2941</v>
      </c>
      <c r="L351" s="149">
        <v>8913</v>
      </c>
      <c r="M351" s="149">
        <v>4497</v>
      </c>
      <c r="N351" s="148">
        <v>539</v>
      </c>
      <c r="O351" s="150" t="s">
        <v>318</v>
      </c>
      <c r="P351" s="149">
        <v>423</v>
      </c>
      <c r="Q351" s="149">
        <v>425.2</v>
      </c>
      <c r="R351" s="149">
        <v>409.2</v>
      </c>
      <c r="S351" s="149">
        <v>32.799999999999997</v>
      </c>
      <c r="T351" s="149">
        <v>52.6</v>
      </c>
      <c r="U351" s="149">
        <v>20</v>
      </c>
      <c r="V351" s="149">
        <v>280</v>
      </c>
      <c r="W351" s="149">
        <v>3.89</v>
      </c>
      <c r="X351" s="149">
        <v>8.5399999999999991</v>
      </c>
      <c r="Y351" s="149">
        <v>160200</v>
      </c>
      <c r="Z351" s="149">
        <v>60180</v>
      </c>
      <c r="AA351" s="149">
        <v>17.2</v>
      </c>
      <c r="AB351" s="149">
        <v>10.6</v>
      </c>
      <c r="AC351" s="149">
        <v>7535</v>
      </c>
      <c r="AD351" s="149">
        <v>2941</v>
      </c>
      <c r="AE351" s="149">
        <v>8913</v>
      </c>
      <c r="AF351" s="149">
        <v>4497</v>
      </c>
      <c r="AG351" s="149">
        <v>0.83799999999999997</v>
      </c>
      <c r="AH351" s="149">
        <v>7.36</v>
      </c>
      <c r="AI351" s="149">
        <v>20.9</v>
      </c>
      <c r="AJ351" s="149">
        <v>4419</v>
      </c>
      <c r="AK351" s="148">
        <v>539</v>
      </c>
    </row>
    <row r="352" spans="1:37">
      <c r="A352" s="150" t="s">
        <v>317</v>
      </c>
      <c r="B352" s="149">
        <v>416.1</v>
      </c>
      <c r="C352" s="149">
        <v>406.3</v>
      </c>
      <c r="D352" s="149">
        <v>29.8</v>
      </c>
      <c r="E352" s="149">
        <v>48</v>
      </c>
      <c r="F352" s="149">
        <v>20</v>
      </c>
      <c r="G352" s="149">
        <v>280.10000000000002</v>
      </c>
      <c r="H352" s="149">
        <v>141900</v>
      </c>
      <c r="I352" s="149">
        <v>53740</v>
      </c>
      <c r="J352" s="149">
        <v>6818</v>
      </c>
      <c r="K352" s="149">
        <v>2645</v>
      </c>
      <c r="L352" s="149">
        <v>7996</v>
      </c>
      <c r="M352" s="149">
        <v>4040</v>
      </c>
      <c r="N352" s="148">
        <v>489</v>
      </c>
      <c r="O352" s="150" t="s">
        <v>317</v>
      </c>
      <c r="P352" s="149">
        <v>383.8</v>
      </c>
      <c r="Q352" s="149">
        <v>416.1</v>
      </c>
      <c r="R352" s="149">
        <v>406.3</v>
      </c>
      <c r="S352" s="149">
        <v>29.8</v>
      </c>
      <c r="T352" s="149">
        <v>48</v>
      </c>
      <c r="U352" s="149">
        <v>20</v>
      </c>
      <c r="V352" s="149">
        <v>280.10000000000002</v>
      </c>
      <c r="W352" s="149">
        <v>4.2300000000000004</v>
      </c>
      <c r="X352" s="149">
        <v>9.4</v>
      </c>
      <c r="Y352" s="149">
        <v>141900</v>
      </c>
      <c r="Z352" s="149">
        <v>53740</v>
      </c>
      <c r="AA352" s="149">
        <v>17</v>
      </c>
      <c r="AB352" s="149">
        <v>10.5</v>
      </c>
      <c r="AC352" s="149">
        <v>6818</v>
      </c>
      <c r="AD352" s="149">
        <v>2645</v>
      </c>
      <c r="AE352" s="149">
        <v>7996</v>
      </c>
      <c r="AF352" s="149">
        <v>4040</v>
      </c>
      <c r="AG352" s="149">
        <v>0.83699999999999997</v>
      </c>
      <c r="AH352" s="149">
        <v>7.96</v>
      </c>
      <c r="AI352" s="149">
        <v>18.2</v>
      </c>
      <c r="AJ352" s="149">
        <v>3350</v>
      </c>
      <c r="AK352" s="148">
        <v>489</v>
      </c>
    </row>
    <row r="353" spans="1:37">
      <c r="A353" s="150" t="s">
        <v>316</v>
      </c>
      <c r="B353" s="149">
        <v>407.4</v>
      </c>
      <c r="C353" s="149">
        <v>403.6</v>
      </c>
      <c r="D353" s="149">
        <v>27.2</v>
      </c>
      <c r="E353" s="149">
        <v>43.7</v>
      </c>
      <c r="F353" s="149">
        <v>20</v>
      </c>
      <c r="G353" s="149">
        <v>280</v>
      </c>
      <c r="H353" s="149">
        <v>125500</v>
      </c>
      <c r="I353" s="149">
        <v>47950</v>
      </c>
      <c r="J353" s="149">
        <v>6160</v>
      </c>
      <c r="K353" s="149">
        <v>2376</v>
      </c>
      <c r="L353" s="149">
        <v>7164</v>
      </c>
      <c r="M353" s="149">
        <v>3625</v>
      </c>
      <c r="N353" s="148">
        <v>443</v>
      </c>
      <c r="O353" s="150" t="s">
        <v>316</v>
      </c>
      <c r="P353" s="149">
        <v>347.9</v>
      </c>
      <c r="Q353" s="149">
        <v>407.4</v>
      </c>
      <c r="R353" s="149">
        <v>403.6</v>
      </c>
      <c r="S353" s="149">
        <v>27.2</v>
      </c>
      <c r="T353" s="149">
        <v>43.7</v>
      </c>
      <c r="U353" s="149">
        <v>20</v>
      </c>
      <c r="V353" s="149">
        <v>280</v>
      </c>
      <c r="W353" s="149">
        <v>4.62</v>
      </c>
      <c r="X353" s="149">
        <v>10.3</v>
      </c>
      <c r="Y353" s="149">
        <v>125500</v>
      </c>
      <c r="Z353" s="149">
        <v>47950</v>
      </c>
      <c r="AA353" s="149">
        <v>16.8</v>
      </c>
      <c r="AB353" s="149">
        <v>10.4</v>
      </c>
      <c r="AC353" s="149">
        <v>6160</v>
      </c>
      <c r="AD353" s="149">
        <v>2376</v>
      </c>
      <c r="AE353" s="149">
        <v>7164</v>
      </c>
      <c r="AF353" s="149">
        <v>3625</v>
      </c>
      <c r="AG353" s="149">
        <v>0.83599999999999997</v>
      </c>
      <c r="AH353" s="149">
        <v>8.6199999999999992</v>
      </c>
      <c r="AI353" s="149">
        <v>15.9</v>
      </c>
      <c r="AJ353" s="149">
        <v>2530</v>
      </c>
      <c r="AK353" s="148">
        <v>443</v>
      </c>
    </row>
    <row r="354" spans="1:37">
      <c r="A354" s="150" t="s">
        <v>315</v>
      </c>
      <c r="B354" s="149">
        <v>403.1</v>
      </c>
      <c r="C354" s="149">
        <v>402</v>
      </c>
      <c r="D354" s="149">
        <v>25.5</v>
      </c>
      <c r="E354" s="149">
        <v>41.2</v>
      </c>
      <c r="F354" s="149">
        <v>20</v>
      </c>
      <c r="G354" s="149">
        <v>280.7</v>
      </c>
      <c r="H354" s="149">
        <v>116800</v>
      </c>
      <c r="I354" s="149">
        <v>44660</v>
      </c>
      <c r="J354" s="149">
        <v>5794</v>
      </c>
      <c r="K354" s="149">
        <v>2222</v>
      </c>
      <c r="L354" s="149">
        <v>6703</v>
      </c>
      <c r="M354" s="149">
        <v>3387</v>
      </c>
      <c r="N354" s="148">
        <v>416</v>
      </c>
      <c r="O354" s="150" t="s">
        <v>315</v>
      </c>
      <c r="P354" s="149">
        <v>326.89999999999998</v>
      </c>
      <c r="Q354" s="149">
        <v>403.1</v>
      </c>
      <c r="R354" s="149">
        <v>402</v>
      </c>
      <c r="S354" s="149">
        <v>25.5</v>
      </c>
      <c r="T354" s="149">
        <v>41.2</v>
      </c>
      <c r="U354" s="149">
        <v>20</v>
      </c>
      <c r="V354" s="149">
        <v>280.7</v>
      </c>
      <c r="W354" s="149">
        <v>4.88</v>
      </c>
      <c r="X354" s="149">
        <v>11</v>
      </c>
      <c r="Y354" s="149">
        <v>116800</v>
      </c>
      <c r="Z354" s="149">
        <v>44660</v>
      </c>
      <c r="AA354" s="149">
        <v>16.7</v>
      </c>
      <c r="AB354" s="149">
        <v>10.4</v>
      </c>
      <c r="AC354" s="149">
        <v>5794</v>
      </c>
      <c r="AD354" s="149">
        <v>2222</v>
      </c>
      <c r="AE354" s="149">
        <v>6703</v>
      </c>
      <c r="AF354" s="149">
        <v>3387</v>
      </c>
      <c r="AG354" s="149">
        <v>0.83599999999999997</v>
      </c>
      <c r="AH354" s="149">
        <v>9.09</v>
      </c>
      <c r="AI354" s="149">
        <v>14.6</v>
      </c>
      <c r="AJ354" s="149">
        <v>2117</v>
      </c>
      <c r="AK354" s="148">
        <v>416</v>
      </c>
    </row>
    <row r="355" spans="1:37">
      <c r="A355" s="150" t="s">
        <v>314</v>
      </c>
      <c r="B355" s="149">
        <v>399.3</v>
      </c>
      <c r="C355" s="149">
        <v>401.3</v>
      </c>
      <c r="D355" s="149">
        <v>24.9</v>
      </c>
      <c r="E355" s="149">
        <v>39.5</v>
      </c>
      <c r="F355" s="149">
        <v>20</v>
      </c>
      <c r="G355" s="149">
        <v>280.3</v>
      </c>
      <c r="H355" s="149">
        <v>110700</v>
      </c>
      <c r="I355" s="149">
        <v>42600</v>
      </c>
      <c r="J355" s="149">
        <v>5543</v>
      </c>
      <c r="K355" s="149">
        <v>2123</v>
      </c>
      <c r="L355" s="149">
        <v>6395</v>
      </c>
      <c r="M355" s="149">
        <v>3236</v>
      </c>
      <c r="N355" s="148">
        <v>400</v>
      </c>
      <c r="O355" s="150" t="s">
        <v>314</v>
      </c>
      <c r="P355" s="149">
        <v>314.2</v>
      </c>
      <c r="Q355" s="149">
        <v>399.3</v>
      </c>
      <c r="R355" s="149">
        <v>401.3</v>
      </c>
      <c r="S355" s="149">
        <v>24.9</v>
      </c>
      <c r="T355" s="149">
        <v>39.5</v>
      </c>
      <c r="U355" s="149">
        <v>20</v>
      </c>
      <c r="V355" s="149">
        <v>280.3</v>
      </c>
      <c r="W355" s="149">
        <v>5.08</v>
      </c>
      <c r="X355" s="149">
        <v>11.3</v>
      </c>
      <c r="Y355" s="149">
        <v>110700</v>
      </c>
      <c r="Z355" s="149">
        <v>42600</v>
      </c>
      <c r="AA355" s="149">
        <v>16.600000000000001</v>
      </c>
      <c r="AB355" s="149">
        <v>10.3</v>
      </c>
      <c r="AC355" s="149">
        <v>5543</v>
      </c>
      <c r="AD355" s="149">
        <v>2123</v>
      </c>
      <c r="AE355" s="149">
        <v>6395</v>
      </c>
      <c r="AF355" s="149">
        <v>3236</v>
      </c>
      <c r="AG355" s="149">
        <v>0.83499999999999996</v>
      </c>
      <c r="AH355" s="149">
        <v>9.4</v>
      </c>
      <c r="AI355" s="149">
        <v>13.8</v>
      </c>
      <c r="AJ355" s="149">
        <v>1880</v>
      </c>
      <c r="AK355" s="148">
        <v>400</v>
      </c>
    </row>
    <row r="356" spans="1:37">
      <c r="A356" s="150" t="s">
        <v>313</v>
      </c>
      <c r="B356" s="149">
        <v>393.2</v>
      </c>
      <c r="C356" s="149">
        <v>399</v>
      </c>
      <c r="D356" s="149">
        <v>22.6</v>
      </c>
      <c r="E356" s="149">
        <v>36.5</v>
      </c>
      <c r="F356" s="149">
        <v>20</v>
      </c>
      <c r="G356" s="149">
        <v>280.2</v>
      </c>
      <c r="H356" s="149">
        <v>99990</v>
      </c>
      <c r="I356" s="149">
        <v>38680</v>
      </c>
      <c r="J356" s="149">
        <v>5086</v>
      </c>
      <c r="K356" s="149">
        <v>1939</v>
      </c>
      <c r="L356" s="149">
        <v>5828</v>
      </c>
      <c r="M356" s="149">
        <v>2952</v>
      </c>
      <c r="N356" s="148">
        <v>367</v>
      </c>
      <c r="O356" s="150" t="s">
        <v>313</v>
      </c>
      <c r="P356" s="149">
        <v>288.10000000000002</v>
      </c>
      <c r="Q356" s="149">
        <v>393.2</v>
      </c>
      <c r="R356" s="149">
        <v>399</v>
      </c>
      <c r="S356" s="149">
        <v>22.6</v>
      </c>
      <c r="T356" s="149">
        <v>36.5</v>
      </c>
      <c r="U356" s="149">
        <v>20</v>
      </c>
      <c r="V356" s="149">
        <v>280.2</v>
      </c>
      <c r="W356" s="149">
        <v>5.47</v>
      </c>
      <c r="X356" s="149">
        <v>12.4</v>
      </c>
      <c r="Y356" s="149">
        <v>99990</v>
      </c>
      <c r="Z356" s="149">
        <v>38680</v>
      </c>
      <c r="AA356" s="149">
        <v>16.5</v>
      </c>
      <c r="AB356" s="149">
        <v>10.3</v>
      </c>
      <c r="AC356" s="149">
        <v>5086</v>
      </c>
      <c r="AD356" s="149">
        <v>1939</v>
      </c>
      <c r="AE356" s="149">
        <v>5828</v>
      </c>
      <c r="AF356" s="149">
        <v>2952</v>
      </c>
      <c r="AG356" s="149">
        <v>0.83499999999999996</v>
      </c>
      <c r="AH356" s="149">
        <v>10.1</v>
      </c>
      <c r="AI356" s="149">
        <v>12.3</v>
      </c>
      <c r="AJ356" s="149">
        <v>1474</v>
      </c>
      <c r="AK356" s="148">
        <v>367</v>
      </c>
    </row>
    <row r="357" spans="1:37">
      <c r="A357" s="150" t="s">
        <v>312</v>
      </c>
      <c r="B357" s="149">
        <v>386.6</v>
      </c>
      <c r="C357" s="149">
        <v>397.5</v>
      </c>
      <c r="D357" s="149">
        <v>21.1</v>
      </c>
      <c r="E357" s="149">
        <v>33.299999999999997</v>
      </c>
      <c r="F357" s="149">
        <v>20</v>
      </c>
      <c r="G357" s="149">
        <v>280</v>
      </c>
      <c r="H357" s="149">
        <v>89450</v>
      </c>
      <c r="I357" s="149">
        <v>34890</v>
      </c>
      <c r="J357" s="149">
        <v>4627</v>
      </c>
      <c r="K357" s="149">
        <v>1756</v>
      </c>
      <c r="L357" s="149">
        <v>5270</v>
      </c>
      <c r="M357" s="149">
        <v>2672</v>
      </c>
      <c r="N357" s="148">
        <v>336</v>
      </c>
      <c r="O357" s="150" t="s">
        <v>312</v>
      </c>
      <c r="P357" s="149">
        <v>263.5</v>
      </c>
      <c r="Q357" s="149">
        <v>386.6</v>
      </c>
      <c r="R357" s="149">
        <v>397.5</v>
      </c>
      <c r="S357" s="149">
        <v>21.1</v>
      </c>
      <c r="T357" s="149">
        <v>33.299999999999997</v>
      </c>
      <c r="U357" s="149">
        <v>20</v>
      </c>
      <c r="V357" s="149">
        <v>280</v>
      </c>
      <c r="W357" s="149">
        <v>5.97</v>
      </c>
      <c r="X357" s="149">
        <v>13.3</v>
      </c>
      <c r="Y357" s="149">
        <v>89450</v>
      </c>
      <c r="Z357" s="149">
        <v>34890</v>
      </c>
      <c r="AA357" s="149">
        <v>16.3</v>
      </c>
      <c r="AB357" s="149">
        <v>10.199999999999999</v>
      </c>
      <c r="AC357" s="149">
        <v>4627</v>
      </c>
      <c r="AD357" s="149">
        <v>1756</v>
      </c>
      <c r="AE357" s="149">
        <v>5270</v>
      </c>
      <c r="AF357" s="149">
        <v>2672</v>
      </c>
      <c r="AG357" s="149">
        <v>0.83299999999999996</v>
      </c>
      <c r="AH357" s="149">
        <v>10.9</v>
      </c>
      <c r="AI357" s="149">
        <v>10.9</v>
      </c>
      <c r="AJ357" s="149">
        <v>1132</v>
      </c>
      <c r="AK357" s="148">
        <v>336</v>
      </c>
    </row>
    <row r="358" spans="1:37">
      <c r="A358" s="150" t="s">
        <v>311</v>
      </c>
      <c r="B358" s="149">
        <v>380.4</v>
      </c>
      <c r="C358" s="149">
        <v>395.4</v>
      </c>
      <c r="D358" s="149">
        <v>18.899999999999999</v>
      </c>
      <c r="E358" s="149">
        <v>30.2</v>
      </c>
      <c r="F358" s="149">
        <v>20</v>
      </c>
      <c r="G358" s="149">
        <v>280</v>
      </c>
      <c r="H358" s="149">
        <v>79400</v>
      </c>
      <c r="I358" s="149">
        <v>31140</v>
      </c>
      <c r="J358" s="149">
        <v>4174</v>
      </c>
      <c r="K358" s="149">
        <v>1575</v>
      </c>
      <c r="L358" s="149">
        <v>4719</v>
      </c>
      <c r="M358" s="149">
        <v>2394</v>
      </c>
      <c r="N358" s="148">
        <v>303</v>
      </c>
      <c r="O358" s="150" t="s">
        <v>311</v>
      </c>
      <c r="P358" s="149">
        <v>237.6</v>
      </c>
      <c r="Q358" s="149">
        <v>380.4</v>
      </c>
      <c r="R358" s="149">
        <v>395.4</v>
      </c>
      <c r="S358" s="149">
        <v>18.899999999999999</v>
      </c>
      <c r="T358" s="149">
        <v>30.2</v>
      </c>
      <c r="U358" s="149">
        <v>20</v>
      </c>
      <c r="V358" s="149">
        <v>280</v>
      </c>
      <c r="W358" s="149">
        <v>6.55</v>
      </c>
      <c r="X358" s="149">
        <v>14.8</v>
      </c>
      <c r="Y358" s="149">
        <v>79400</v>
      </c>
      <c r="Z358" s="149">
        <v>31140</v>
      </c>
      <c r="AA358" s="149">
        <v>16.2</v>
      </c>
      <c r="AB358" s="149">
        <v>10.1</v>
      </c>
      <c r="AC358" s="149">
        <v>4174</v>
      </c>
      <c r="AD358" s="149">
        <v>1575</v>
      </c>
      <c r="AE358" s="149">
        <v>4719</v>
      </c>
      <c r="AF358" s="149">
        <v>2394</v>
      </c>
      <c r="AG358" s="149">
        <v>0.83299999999999996</v>
      </c>
      <c r="AH358" s="149">
        <v>11.9</v>
      </c>
      <c r="AI358" s="149">
        <v>9.5500000000000007</v>
      </c>
      <c r="AJ358" s="149">
        <v>843</v>
      </c>
      <c r="AK358" s="148">
        <v>303</v>
      </c>
    </row>
    <row r="359" spans="1:37">
      <c r="A359" s="150" t="s">
        <v>310</v>
      </c>
      <c r="B359" s="149">
        <v>375.4</v>
      </c>
      <c r="C359" s="149">
        <v>393.7</v>
      </c>
      <c r="D359" s="149">
        <v>17.3</v>
      </c>
      <c r="E359" s="149">
        <v>27.7</v>
      </c>
      <c r="F359" s="149">
        <v>20</v>
      </c>
      <c r="G359" s="149">
        <v>280</v>
      </c>
      <c r="H359" s="149">
        <v>71620</v>
      </c>
      <c r="I359" s="149">
        <v>28190</v>
      </c>
      <c r="J359" s="149">
        <v>3815</v>
      </c>
      <c r="K359" s="149">
        <v>1432</v>
      </c>
      <c r="L359" s="149">
        <v>4288</v>
      </c>
      <c r="M359" s="149">
        <v>2175</v>
      </c>
      <c r="N359" s="148">
        <v>277</v>
      </c>
      <c r="O359" s="150" t="s">
        <v>310</v>
      </c>
      <c r="P359" s="149">
        <v>217.4</v>
      </c>
      <c r="Q359" s="149">
        <v>375.4</v>
      </c>
      <c r="R359" s="149">
        <v>393.7</v>
      </c>
      <c r="S359" s="149">
        <v>17.3</v>
      </c>
      <c r="T359" s="149">
        <v>27.7</v>
      </c>
      <c r="U359" s="149">
        <v>20</v>
      </c>
      <c r="V359" s="149">
        <v>280</v>
      </c>
      <c r="W359" s="149">
        <v>7.11</v>
      </c>
      <c r="X359" s="149">
        <v>16.2</v>
      </c>
      <c r="Y359" s="149">
        <v>71620</v>
      </c>
      <c r="Z359" s="149">
        <v>28190</v>
      </c>
      <c r="AA359" s="149">
        <v>16.100000000000001</v>
      </c>
      <c r="AB359" s="149">
        <v>10.1</v>
      </c>
      <c r="AC359" s="149">
        <v>3815</v>
      </c>
      <c r="AD359" s="149">
        <v>1432</v>
      </c>
      <c r="AE359" s="149">
        <v>4288</v>
      </c>
      <c r="AF359" s="149">
        <v>2175</v>
      </c>
      <c r="AG359" s="149">
        <v>0.83299999999999996</v>
      </c>
      <c r="AH359" s="149">
        <v>12.8</v>
      </c>
      <c r="AI359" s="149">
        <v>8.52</v>
      </c>
      <c r="AJ359" s="149">
        <v>652</v>
      </c>
      <c r="AK359" s="148">
        <v>277</v>
      </c>
    </row>
    <row r="360" spans="1:37" ht="15.6">
      <c r="A360" s="150" t="s">
        <v>309</v>
      </c>
      <c r="B360" s="149">
        <v>372.4</v>
      </c>
      <c r="C360" s="149">
        <v>374</v>
      </c>
      <c r="D360" s="149">
        <v>16.399999999999999</v>
      </c>
      <c r="E360" s="149">
        <v>26.2</v>
      </c>
      <c r="F360" s="149">
        <v>20</v>
      </c>
      <c r="G360" s="149">
        <v>280</v>
      </c>
      <c r="H360" s="149">
        <v>64140</v>
      </c>
      <c r="I360" s="149">
        <v>22860</v>
      </c>
      <c r="J360" s="149">
        <v>3445</v>
      </c>
      <c r="K360" s="149">
        <v>1223</v>
      </c>
      <c r="L360" s="149">
        <v>3866</v>
      </c>
      <c r="M360" s="149">
        <v>1858</v>
      </c>
      <c r="N360" s="148">
        <v>252</v>
      </c>
      <c r="O360" s="150" t="s">
        <v>309</v>
      </c>
      <c r="P360" s="149">
        <v>197.7</v>
      </c>
      <c r="Q360" s="149">
        <v>372.4</v>
      </c>
      <c r="R360" s="149">
        <v>374</v>
      </c>
      <c r="S360" s="149">
        <v>16.399999999999999</v>
      </c>
      <c r="T360" s="149">
        <v>26.2</v>
      </c>
      <c r="U360" s="149">
        <v>20</v>
      </c>
      <c r="V360" s="149">
        <v>280</v>
      </c>
      <c r="W360" s="149">
        <v>7.14</v>
      </c>
      <c r="X360" s="149">
        <v>17.100000000000001</v>
      </c>
      <c r="Y360" s="149">
        <v>64140</v>
      </c>
      <c r="Z360" s="149">
        <v>22860</v>
      </c>
      <c r="AA360" s="149">
        <v>16</v>
      </c>
      <c r="AB360" s="149">
        <v>9.5299999999999994</v>
      </c>
      <c r="AC360" s="149">
        <v>3445</v>
      </c>
      <c r="AD360" s="149">
        <v>1223</v>
      </c>
      <c r="AE360" s="149">
        <v>3866</v>
      </c>
      <c r="AF360" s="149">
        <v>1858</v>
      </c>
      <c r="AG360" s="149">
        <v>0.84299999999999997</v>
      </c>
      <c r="AH360" s="149">
        <v>13.5</v>
      </c>
      <c r="AI360" s="149">
        <v>6.85</v>
      </c>
      <c r="AJ360" s="149">
        <v>531</v>
      </c>
      <c r="AK360" s="148">
        <v>252</v>
      </c>
    </row>
    <row r="361" spans="1:37" ht="15.6">
      <c r="A361" s="150" t="s">
        <v>308</v>
      </c>
      <c r="B361" s="149">
        <v>367.8</v>
      </c>
      <c r="C361" s="149">
        <v>372.6</v>
      </c>
      <c r="D361" s="149">
        <v>15</v>
      </c>
      <c r="E361" s="149">
        <v>23.9</v>
      </c>
      <c r="F361" s="149">
        <v>20</v>
      </c>
      <c r="G361" s="149">
        <v>280</v>
      </c>
      <c r="H361" s="149">
        <v>57670</v>
      </c>
      <c r="I361" s="149">
        <v>20620</v>
      </c>
      <c r="J361" s="149">
        <v>3136</v>
      </c>
      <c r="K361" s="149">
        <v>1107</v>
      </c>
      <c r="L361" s="149">
        <v>3500</v>
      </c>
      <c r="M361" s="149">
        <v>1681</v>
      </c>
      <c r="N361" s="148">
        <v>230</v>
      </c>
      <c r="O361" s="150" t="s">
        <v>308</v>
      </c>
      <c r="P361" s="149">
        <v>180.2</v>
      </c>
      <c r="Q361" s="149">
        <v>367.8</v>
      </c>
      <c r="R361" s="149">
        <v>372.6</v>
      </c>
      <c r="S361" s="149">
        <v>15</v>
      </c>
      <c r="T361" s="149">
        <v>23.9</v>
      </c>
      <c r="U361" s="149">
        <v>20</v>
      </c>
      <c r="V361" s="149">
        <v>280</v>
      </c>
      <c r="W361" s="149">
        <v>7.79</v>
      </c>
      <c r="X361" s="149">
        <v>18.7</v>
      </c>
      <c r="Y361" s="149">
        <v>57670</v>
      </c>
      <c r="Z361" s="149">
        <v>20620</v>
      </c>
      <c r="AA361" s="149">
        <v>15.9</v>
      </c>
      <c r="AB361" s="149">
        <v>9.48</v>
      </c>
      <c r="AC361" s="149">
        <v>3136</v>
      </c>
      <c r="AD361" s="149">
        <v>1107</v>
      </c>
      <c r="AE361" s="149">
        <v>3500</v>
      </c>
      <c r="AF361" s="149">
        <v>1681</v>
      </c>
      <c r="AG361" s="149">
        <v>0.84299999999999997</v>
      </c>
      <c r="AH361" s="149">
        <v>14.6</v>
      </c>
      <c r="AI361" s="149">
        <v>6.1</v>
      </c>
      <c r="AJ361" s="149">
        <v>406</v>
      </c>
      <c r="AK361" s="148">
        <v>230</v>
      </c>
    </row>
    <row r="362" spans="1:37" ht="15.6">
      <c r="A362" s="150" t="s">
        <v>307</v>
      </c>
      <c r="B362" s="149">
        <v>363.7</v>
      </c>
      <c r="C362" s="149">
        <v>371</v>
      </c>
      <c r="D362" s="149">
        <v>13.3</v>
      </c>
      <c r="E362" s="149">
        <v>21.8</v>
      </c>
      <c r="F362" s="149">
        <v>20</v>
      </c>
      <c r="G362" s="149">
        <v>280.10000000000002</v>
      </c>
      <c r="H362" s="149">
        <v>51800</v>
      </c>
      <c r="I362" s="149">
        <v>18560</v>
      </c>
      <c r="J362" s="149">
        <v>2849</v>
      </c>
      <c r="K362" s="149">
        <v>1001</v>
      </c>
      <c r="L362" s="149">
        <v>3159</v>
      </c>
      <c r="M362" s="149">
        <v>1518</v>
      </c>
      <c r="N362" s="148">
        <v>208</v>
      </c>
      <c r="O362" s="150" t="s">
        <v>307</v>
      </c>
      <c r="P362" s="149">
        <v>163.1</v>
      </c>
      <c r="Q362" s="149">
        <v>363.7</v>
      </c>
      <c r="R362" s="149">
        <v>371</v>
      </c>
      <c r="S362" s="149">
        <v>13.3</v>
      </c>
      <c r="T362" s="149">
        <v>21.8</v>
      </c>
      <c r="U362" s="149">
        <v>20</v>
      </c>
      <c r="V362" s="149">
        <v>280.10000000000002</v>
      </c>
      <c r="W362" s="149">
        <v>8.51</v>
      </c>
      <c r="X362" s="149">
        <v>21.1</v>
      </c>
      <c r="Y362" s="149">
        <v>51800</v>
      </c>
      <c r="Z362" s="149">
        <v>18560</v>
      </c>
      <c r="AA362" s="149">
        <v>15.8</v>
      </c>
      <c r="AB362" s="149">
        <v>9.4499999999999993</v>
      </c>
      <c r="AC362" s="149">
        <v>2849</v>
      </c>
      <c r="AD362" s="149">
        <v>1001</v>
      </c>
      <c r="AE362" s="149">
        <v>3159</v>
      </c>
      <c r="AF362" s="149">
        <v>1518</v>
      </c>
      <c r="AG362" s="149">
        <v>0.84399999999999997</v>
      </c>
      <c r="AH362" s="149">
        <v>15.9</v>
      </c>
      <c r="AI362" s="149">
        <v>5.43</v>
      </c>
      <c r="AJ362" s="149">
        <v>307</v>
      </c>
      <c r="AK362" s="148">
        <v>208</v>
      </c>
    </row>
    <row r="363" spans="1:37" ht="15.6">
      <c r="A363" s="150" t="s">
        <v>306</v>
      </c>
      <c r="B363" s="149">
        <v>360</v>
      </c>
      <c r="C363" s="149">
        <v>370</v>
      </c>
      <c r="D363" s="149">
        <v>12.3</v>
      </c>
      <c r="E363" s="149">
        <v>19.8</v>
      </c>
      <c r="F363" s="149">
        <v>20</v>
      </c>
      <c r="G363" s="149">
        <v>280.39999999999998</v>
      </c>
      <c r="H363" s="149">
        <v>46650</v>
      </c>
      <c r="I363" s="149">
        <v>16720</v>
      </c>
      <c r="J363" s="149">
        <v>2591</v>
      </c>
      <c r="K363" s="149">
        <v>904</v>
      </c>
      <c r="L363" s="149">
        <v>2861</v>
      </c>
      <c r="M363" s="149">
        <v>1371</v>
      </c>
      <c r="N363" s="148">
        <v>189</v>
      </c>
      <c r="O363" s="150" t="s">
        <v>306</v>
      </c>
      <c r="P363" s="149">
        <v>148.6</v>
      </c>
      <c r="Q363" s="149">
        <v>360</v>
      </c>
      <c r="R363" s="149">
        <v>370</v>
      </c>
      <c r="S363" s="149">
        <v>12.3</v>
      </c>
      <c r="T363" s="149">
        <v>19.8</v>
      </c>
      <c r="U363" s="149">
        <v>20</v>
      </c>
      <c r="V363" s="149">
        <v>280.39999999999998</v>
      </c>
      <c r="W363" s="149">
        <v>9.34</v>
      </c>
      <c r="X363" s="149">
        <v>22.8</v>
      </c>
      <c r="Y363" s="149">
        <v>46650</v>
      </c>
      <c r="Z363" s="149">
        <v>16720</v>
      </c>
      <c r="AA363" s="149">
        <v>15.7</v>
      </c>
      <c r="AB363" s="149">
        <v>9.4</v>
      </c>
      <c r="AC363" s="149">
        <v>2591</v>
      </c>
      <c r="AD363" s="149">
        <v>904</v>
      </c>
      <c r="AE363" s="149">
        <v>2861</v>
      </c>
      <c r="AF363" s="149">
        <v>1371</v>
      </c>
      <c r="AG363" s="149">
        <v>0.84299999999999997</v>
      </c>
      <c r="AH363" s="149">
        <v>17.3</v>
      </c>
      <c r="AI363" s="149">
        <v>4.84</v>
      </c>
      <c r="AJ363" s="149">
        <v>233</v>
      </c>
      <c r="AK363" s="148">
        <v>189</v>
      </c>
    </row>
    <row r="364" spans="1:37" ht="15.6">
      <c r="A364" s="150" t="s">
        <v>305</v>
      </c>
      <c r="B364" s="149">
        <v>356.1</v>
      </c>
      <c r="C364" s="149">
        <v>368.8</v>
      </c>
      <c r="D364" s="149">
        <v>11.2</v>
      </c>
      <c r="E364" s="149">
        <v>18</v>
      </c>
      <c r="F364" s="149">
        <v>20</v>
      </c>
      <c r="G364" s="149">
        <v>280.10000000000002</v>
      </c>
      <c r="H364" s="149">
        <v>41870</v>
      </c>
      <c r="I364" s="149">
        <v>15060</v>
      </c>
      <c r="J364" s="149">
        <v>2352</v>
      </c>
      <c r="K364" s="149">
        <v>816</v>
      </c>
      <c r="L364" s="149">
        <v>2585</v>
      </c>
      <c r="M364" s="149">
        <v>1238</v>
      </c>
      <c r="N364" s="148">
        <v>172</v>
      </c>
      <c r="O364" s="150" t="s">
        <v>305</v>
      </c>
      <c r="P364" s="149">
        <v>135.1</v>
      </c>
      <c r="Q364" s="149">
        <v>356.1</v>
      </c>
      <c r="R364" s="149">
        <v>368.8</v>
      </c>
      <c r="S364" s="149">
        <v>11.2</v>
      </c>
      <c r="T364" s="149">
        <v>18</v>
      </c>
      <c r="U364" s="149">
        <v>20</v>
      </c>
      <c r="V364" s="149">
        <v>280.10000000000002</v>
      </c>
      <c r="W364" s="149">
        <v>10.199999999999999</v>
      </c>
      <c r="X364" s="149">
        <v>25</v>
      </c>
      <c r="Y364" s="149">
        <v>41870</v>
      </c>
      <c r="Z364" s="149">
        <v>15060</v>
      </c>
      <c r="AA364" s="149">
        <v>15.6</v>
      </c>
      <c r="AB364" s="149">
        <v>9.35</v>
      </c>
      <c r="AC364" s="149">
        <v>2352</v>
      </c>
      <c r="AD364" s="149">
        <v>816</v>
      </c>
      <c r="AE364" s="149">
        <v>2585</v>
      </c>
      <c r="AF364" s="149">
        <v>1238</v>
      </c>
      <c r="AG364" s="149">
        <v>0.84299999999999997</v>
      </c>
      <c r="AH364" s="149">
        <v>18.899999999999999</v>
      </c>
      <c r="AI364" s="149">
        <v>4.3</v>
      </c>
      <c r="AJ364" s="149">
        <v>177</v>
      </c>
      <c r="AK364" s="148">
        <v>172</v>
      </c>
    </row>
    <row r="365" spans="1:37" ht="15.6">
      <c r="A365" s="150" t="s">
        <v>304</v>
      </c>
      <c r="B365" s="149">
        <v>358.1</v>
      </c>
      <c r="C365" s="149">
        <v>172.1</v>
      </c>
      <c r="D365" s="149">
        <v>7.9</v>
      </c>
      <c r="E365" s="149">
        <v>13.1</v>
      </c>
      <c r="F365" s="149">
        <v>16</v>
      </c>
      <c r="G365" s="149">
        <v>299.89999999999998</v>
      </c>
      <c r="H365" s="149">
        <v>16410</v>
      </c>
      <c r="I365" s="149">
        <v>1116</v>
      </c>
      <c r="J365" s="149">
        <v>917</v>
      </c>
      <c r="K365" s="149">
        <v>130</v>
      </c>
      <c r="L365" s="149">
        <v>1031</v>
      </c>
      <c r="M365" s="149">
        <v>201</v>
      </c>
      <c r="N365" s="148">
        <v>73.5</v>
      </c>
      <c r="O365" s="150" t="s">
        <v>304</v>
      </c>
      <c r="P365" s="149">
        <v>57.7</v>
      </c>
      <c r="Q365" s="149">
        <v>358.1</v>
      </c>
      <c r="R365" s="149">
        <v>172.1</v>
      </c>
      <c r="S365" s="149">
        <v>7.9</v>
      </c>
      <c r="T365" s="149">
        <v>13.1</v>
      </c>
      <c r="U365" s="149">
        <v>16</v>
      </c>
      <c r="V365" s="149">
        <v>299.89999999999998</v>
      </c>
      <c r="W365" s="149">
        <v>6.57</v>
      </c>
      <c r="X365" s="149">
        <v>38</v>
      </c>
      <c r="Y365" s="149">
        <v>16410</v>
      </c>
      <c r="Z365" s="149">
        <v>1116</v>
      </c>
      <c r="AA365" s="149">
        <v>14.9</v>
      </c>
      <c r="AB365" s="149">
        <v>3.9</v>
      </c>
      <c r="AC365" s="149">
        <v>917</v>
      </c>
      <c r="AD365" s="149">
        <v>130</v>
      </c>
      <c r="AE365" s="149">
        <v>1031</v>
      </c>
      <c r="AF365" s="149">
        <v>201</v>
      </c>
      <c r="AG365" s="149">
        <v>0.88600000000000001</v>
      </c>
      <c r="AH365" s="149">
        <v>27.3</v>
      </c>
      <c r="AI365" s="149">
        <v>0.33200000000000002</v>
      </c>
      <c r="AJ365" s="149">
        <v>37.700000000000003</v>
      </c>
      <c r="AK365" s="148">
        <v>73.5</v>
      </c>
    </row>
    <row r="366" spans="1:37" ht="15.6">
      <c r="A366" s="150" t="s">
        <v>303</v>
      </c>
      <c r="B366" s="149">
        <v>355.1</v>
      </c>
      <c r="C366" s="149">
        <v>171.3</v>
      </c>
      <c r="D366" s="149">
        <v>7.2</v>
      </c>
      <c r="E366" s="149">
        <v>11.6</v>
      </c>
      <c r="F366" s="149">
        <v>16</v>
      </c>
      <c r="G366" s="149">
        <v>299.98</v>
      </c>
      <c r="H366" s="149">
        <v>14460</v>
      </c>
      <c r="I366" s="149">
        <v>971</v>
      </c>
      <c r="J366" s="149">
        <v>815</v>
      </c>
      <c r="K366" s="149">
        <v>113</v>
      </c>
      <c r="L366" s="149">
        <v>914</v>
      </c>
      <c r="M366" s="149">
        <v>175</v>
      </c>
      <c r="N366" s="148">
        <v>65.7</v>
      </c>
      <c r="O366" s="150" t="s">
        <v>303</v>
      </c>
      <c r="P366" s="149">
        <v>51.6</v>
      </c>
      <c r="Q366" s="149">
        <v>355.1</v>
      </c>
      <c r="R366" s="149">
        <v>171.3</v>
      </c>
      <c r="S366" s="149">
        <v>7.2</v>
      </c>
      <c r="T366" s="149">
        <v>11.6</v>
      </c>
      <c r="U366" s="149">
        <v>16</v>
      </c>
      <c r="V366" s="149">
        <v>299.98</v>
      </c>
      <c r="W366" s="149">
        <v>7.41</v>
      </c>
      <c r="X366" s="149">
        <v>41.7</v>
      </c>
      <c r="Y366" s="149">
        <v>14460</v>
      </c>
      <c r="Z366" s="149">
        <v>971</v>
      </c>
      <c r="AA366" s="149">
        <v>14.8</v>
      </c>
      <c r="AB366" s="149">
        <v>3.84</v>
      </c>
      <c r="AC366" s="149">
        <v>815</v>
      </c>
      <c r="AD366" s="149">
        <v>113</v>
      </c>
      <c r="AE366" s="149">
        <v>914</v>
      </c>
      <c r="AF366" s="149">
        <v>175</v>
      </c>
      <c r="AG366" s="149">
        <v>0.88500000000000001</v>
      </c>
      <c r="AH366" s="149">
        <v>30.2</v>
      </c>
      <c r="AI366" s="149">
        <v>0.28599999999999998</v>
      </c>
      <c r="AJ366" s="149">
        <v>27.2</v>
      </c>
      <c r="AK366" s="148">
        <v>65.7</v>
      </c>
    </row>
    <row r="367" spans="1:37" ht="15.6">
      <c r="A367" s="150" t="s">
        <v>302</v>
      </c>
      <c r="B367" s="149">
        <v>351.5</v>
      </c>
      <c r="C367" s="149">
        <v>170.9</v>
      </c>
      <c r="D367" s="149">
        <v>6.9</v>
      </c>
      <c r="E367" s="149">
        <v>9.8000000000000007</v>
      </c>
      <c r="F367" s="149">
        <v>16</v>
      </c>
      <c r="G367" s="149">
        <v>299.89999999999998</v>
      </c>
      <c r="H367" s="149">
        <v>12460</v>
      </c>
      <c r="I367" s="149">
        <v>817</v>
      </c>
      <c r="J367" s="149">
        <v>709</v>
      </c>
      <c r="K367" s="149">
        <v>95.7</v>
      </c>
      <c r="L367" s="149">
        <v>798</v>
      </c>
      <c r="M367" s="149">
        <v>149</v>
      </c>
      <c r="N367" s="148">
        <v>58.6</v>
      </c>
      <c r="O367" s="150" t="s">
        <v>302</v>
      </c>
      <c r="P367" s="149">
        <v>46</v>
      </c>
      <c r="Q367" s="149">
        <v>351.5</v>
      </c>
      <c r="R367" s="149">
        <v>170.9</v>
      </c>
      <c r="S367" s="149">
        <v>6.9</v>
      </c>
      <c r="T367" s="149">
        <v>9.8000000000000007</v>
      </c>
      <c r="U367" s="149">
        <v>16</v>
      </c>
      <c r="V367" s="149">
        <v>299.89999999999998</v>
      </c>
      <c r="W367" s="149">
        <v>8.7200000000000006</v>
      </c>
      <c r="X367" s="149">
        <v>43.5</v>
      </c>
      <c r="Y367" s="149">
        <v>12460</v>
      </c>
      <c r="Z367" s="149">
        <v>817</v>
      </c>
      <c r="AA367" s="149">
        <v>14.6</v>
      </c>
      <c r="AB367" s="149">
        <v>3.74</v>
      </c>
      <c r="AC367" s="149">
        <v>709</v>
      </c>
      <c r="AD367" s="149">
        <v>95.7</v>
      </c>
      <c r="AE367" s="149">
        <v>798</v>
      </c>
      <c r="AF367" s="149">
        <v>149</v>
      </c>
      <c r="AG367" s="149">
        <v>0.878</v>
      </c>
      <c r="AH367" s="149">
        <v>34</v>
      </c>
      <c r="AI367" s="149">
        <v>0.23899999999999999</v>
      </c>
      <c r="AJ367" s="149">
        <v>19</v>
      </c>
      <c r="AK367" s="148">
        <v>58.6</v>
      </c>
    </row>
    <row r="368" spans="1:37">
      <c r="A368" s="150" t="s">
        <v>301</v>
      </c>
      <c r="B368" s="149">
        <v>353.3</v>
      </c>
      <c r="C368" s="149">
        <v>127.6</v>
      </c>
      <c r="D368" s="149">
        <v>6.5</v>
      </c>
      <c r="E368" s="149">
        <v>10.7</v>
      </c>
      <c r="F368" s="149">
        <v>16</v>
      </c>
      <c r="G368" s="149">
        <v>299.89999999999998</v>
      </c>
      <c r="H368" s="149">
        <v>10580</v>
      </c>
      <c r="I368" s="149">
        <v>372</v>
      </c>
      <c r="J368" s="149">
        <v>599</v>
      </c>
      <c r="K368" s="149">
        <v>58.4</v>
      </c>
      <c r="L368" s="149">
        <v>682</v>
      </c>
      <c r="M368" s="149">
        <v>92.1</v>
      </c>
      <c r="N368" s="148">
        <v>51.1</v>
      </c>
      <c r="O368" s="150" t="s">
        <v>301</v>
      </c>
      <c r="P368" s="149">
        <v>40.1</v>
      </c>
      <c r="Q368" s="149">
        <v>353.3</v>
      </c>
      <c r="R368" s="149">
        <v>127.6</v>
      </c>
      <c r="S368" s="149">
        <v>6.5</v>
      </c>
      <c r="T368" s="149">
        <v>10.7</v>
      </c>
      <c r="U368" s="149">
        <v>16</v>
      </c>
      <c r="V368" s="149">
        <v>299.89999999999998</v>
      </c>
      <c r="W368" s="149">
        <v>5.96</v>
      </c>
      <c r="X368" s="149">
        <v>46.1</v>
      </c>
      <c r="Y368" s="149">
        <v>10580</v>
      </c>
      <c r="Z368" s="149">
        <v>372</v>
      </c>
      <c r="AA368" s="149">
        <v>14.4</v>
      </c>
      <c r="AB368" s="149">
        <v>2.7</v>
      </c>
      <c r="AC368" s="149">
        <v>599</v>
      </c>
      <c r="AD368" s="149">
        <v>58.4</v>
      </c>
      <c r="AE368" s="149">
        <v>682</v>
      </c>
      <c r="AF368" s="149">
        <v>92.1</v>
      </c>
      <c r="AG368" s="149">
        <v>0.875</v>
      </c>
      <c r="AH368" s="149">
        <v>32.4</v>
      </c>
      <c r="AI368" s="149">
        <v>0.109</v>
      </c>
      <c r="AJ368" s="149">
        <v>18.2</v>
      </c>
      <c r="AK368" s="148">
        <v>51.1</v>
      </c>
    </row>
    <row r="369" spans="1:37">
      <c r="A369" s="147" t="s">
        <v>300</v>
      </c>
      <c r="B369" s="146">
        <v>349</v>
      </c>
      <c r="C369" s="146">
        <v>127</v>
      </c>
      <c r="D369" s="146">
        <v>5.8</v>
      </c>
      <c r="E369" s="146">
        <v>8.5</v>
      </c>
      <c r="F369" s="146">
        <v>16</v>
      </c>
      <c r="G369" s="146">
        <v>300</v>
      </c>
      <c r="H369" s="146">
        <v>8608</v>
      </c>
      <c r="I369" s="146">
        <v>292</v>
      </c>
      <c r="J369" s="146">
        <v>493</v>
      </c>
      <c r="K369" s="146">
        <v>46</v>
      </c>
      <c r="L369" s="146">
        <v>563</v>
      </c>
      <c r="M369" s="146">
        <v>72.8</v>
      </c>
      <c r="N369" s="145">
        <v>43</v>
      </c>
      <c r="O369" s="147" t="s">
        <v>300</v>
      </c>
      <c r="P369" s="146">
        <v>33.799999999999997</v>
      </c>
      <c r="Q369" s="146">
        <v>349</v>
      </c>
      <c r="R369" s="146">
        <v>127</v>
      </c>
      <c r="S369" s="146">
        <v>5.8</v>
      </c>
      <c r="T369" s="146">
        <v>8.5</v>
      </c>
      <c r="U369" s="146">
        <v>16</v>
      </c>
      <c r="V369" s="146">
        <v>300</v>
      </c>
      <c r="W369" s="146">
        <v>7.47</v>
      </c>
      <c r="X369" s="146">
        <v>51.7</v>
      </c>
      <c r="Y369" s="146">
        <v>8608</v>
      </c>
      <c r="Z369" s="146">
        <v>292</v>
      </c>
      <c r="AA369" s="146">
        <v>14.1</v>
      </c>
      <c r="AB369" s="146">
        <v>2.6</v>
      </c>
      <c r="AC369" s="146">
        <v>493</v>
      </c>
      <c r="AD369" s="146">
        <v>46</v>
      </c>
      <c r="AE369" s="146">
        <v>563</v>
      </c>
      <c r="AF369" s="146">
        <v>72.8</v>
      </c>
      <c r="AG369" s="146">
        <v>0.86899999999999999</v>
      </c>
      <c r="AH369" s="146">
        <v>38</v>
      </c>
      <c r="AI369" s="146">
        <v>8.5000000000000006E-2</v>
      </c>
      <c r="AJ369" s="146">
        <v>11.1</v>
      </c>
      <c r="AK369" s="145">
        <v>43</v>
      </c>
    </row>
    <row r="370" spans="1:37">
      <c r="A370" s="150" t="s">
        <v>299</v>
      </c>
      <c r="B370" s="149">
        <v>427.2</v>
      </c>
      <c r="C370" s="149">
        <v>340</v>
      </c>
      <c r="D370" s="149">
        <v>45.1</v>
      </c>
      <c r="E370" s="149">
        <v>75.099999999999994</v>
      </c>
      <c r="F370" s="149">
        <v>20</v>
      </c>
      <c r="G370" s="149">
        <v>237</v>
      </c>
      <c r="H370" s="149">
        <v>169300</v>
      </c>
      <c r="I370" s="149">
        <v>49430</v>
      </c>
      <c r="J370" s="149">
        <v>7925</v>
      </c>
      <c r="K370" s="149">
        <v>2908</v>
      </c>
      <c r="L370" s="149">
        <v>9902</v>
      </c>
      <c r="M370" s="149">
        <v>4491</v>
      </c>
      <c r="N370" s="148">
        <v>639</v>
      </c>
      <c r="O370" s="150" t="s">
        <v>299</v>
      </c>
      <c r="P370" s="149">
        <v>501.6</v>
      </c>
      <c r="Q370" s="149">
        <v>427.2</v>
      </c>
      <c r="R370" s="149">
        <v>340</v>
      </c>
      <c r="S370" s="149">
        <v>45.1</v>
      </c>
      <c r="T370" s="149">
        <v>75.099999999999994</v>
      </c>
      <c r="U370" s="149">
        <v>20</v>
      </c>
      <c r="V370" s="149">
        <v>237</v>
      </c>
      <c r="W370" s="149">
        <v>2.2599999999999998</v>
      </c>
      <c r="X370" s="149">
        <v>5.25</v>
      </c>
      <c r="Y370" s="149">
        <v>169300</v>
      </c>
      <c r="Z370" s="149">
        <v>49430</v>
      </c>
      <c r="AA370" s="149">
        <v>16.3</v>
      </c>
      <c r="AB370" s="149">
        <v>8.8000000000000007</v>
      </c>
      <c r="AC370" s="149">
        <v>7925</v>
      </c>
      <c r="AD370" s="149">
        <v>2908</v>
      </c>
      <c r="AE370" s="149">
        <v>9902</v>
      </c>
      <c r="AF370" s="149">
        <v>4491</v>
      </c>
      <c r="AG370" s="149">
        <v>0.86099999999999999</v>
      </c>
      <c r="AH370" s="149">
        <v>4.97</v>
      </c>
      <c r="AI370" s="149">
        <v>15.3</v>
      </c>
      <c r="AJ370" s="149">
        <v>10290</v>
      </c>
      <c r="AK370" s="148">
        <v>639</v>
      </c>
    </row>
    <row r="371" spans="1:37">
      <c r="A371" s="150" t="s">
        <v>298</v>
      </c>
      <c r="B371" s="149">
        <v>414.5</v>
      </c>
      <c r="C371" s="149">
        <v>336.2</v>
      </c>
      <c r="D371" s="149">
        <v>41.3</v>
      </c>
      <c r="E371" s="149">
        <v>68.7</v>
      </c>
      <c r="F371" s="149">
        <v>20</v>
      </c>
      <c r="G371" s="149">
        <v>237.1</v>
      </c>
      <c r="H371" s="149">
        <v>147900</v>
      </c>
      <c r="I371" s="149">
        <v>43700</v>
      </c>
      <c r="J371" s="149">
        <v>7134</v>
      </c>
      <c r="K371" s="149">
        <v>2599</v>
      </c>
      <c r="L371" s="149">
        <v>8826</v>
      </c>
      <c r="M371" s="149">
        <v>4009</v>
      </c>
      <c r="N371" s="148">
        <v>580</v>
      </c>
      <c r="O371" s="150" t="s">
        <v>298</v>
      </c>
      <c r="P371" s="149">
        <v>455.2</v>
      </c>
      <c r="Q371" s="149">
        <v>414.5</v>
      </c>
      <c r="R371" s="149">
        <v>336.2</v>
      </c>
      <c r="S371" s="149">
        <v>41.3</v>
      </c>
      <c r="T371" s="149">
        <v>68.7</v>
      </c>
      <c r="U371" s="149">
        <v>20</v>
      </c>
      <c r="V371" s="149">
        <v>237.1</v>
      </c>
      <c r="W371" s="149">
        <v>2.4500000000000002</v>
      </c>
      <c r="X371" s="149">
        <v>5.74</v>
      </c>
      <c r="Y371" s="149">
        <v>147900</v>
      </c>
      <c r="Z371" s="149">
        <v>43700</v>
      </c>
      <c r="AA371" s="149">
        <v>16</v>
      </c>
      <c r="AB371" s="149">
        <v>8.68</v>
      </c>
      <c r="AC371" s="149">
        <v>7134</v>
      </c>
      <c r="AD371" s="149">
        <v>2599</v>
      </c>
      <c r="AE371" s="149">
        <v>8826</v>
      </c>
      <c r="AF371" s="149">
        <v>4009</v>
      </c>
      <c r="AG371" s="149">
        <v>0.86</v>
      </c>
      <c r="AH371" s="149">
        <v>5.32</v>
      </c>
      <c r="AI371" s="149">
        <v>13.1</v>
      </c>
      <c r="AJ371" s="149">
        <v>7861</v>
      </c>
      <c r="AK371" s="148">
        <v>580</v>
      </c>
    </row>
    <row r="372" spans="1:37">
      <c r="A372" s="150" t="s">
        <v>297</v>
      </c>
      <c r="B372" s="149">
        <v>402.6</v>
      </c>
      <c r="C372" s="149">
        <v>333.8</v>
      </c>
      <c r="D372" s="149">
        <v>38.9</v>
      </c>
      <c r="E372" s="149">
        <v>62.7</v>
      </c>
      <c r="F372" s="149">
        <v>20</v>
      </c>
      <c r="G372" s="149">
        <v>237.2</v>
      </c>
      <c r="H372" s="149">
        <v>129800</v>
      </c>
      <c r="I372" s="149">
        <v>39020</v>
      </c>
      <c r="J372" s="149">
        <v>6448</v>
      </c>
      <c r="K372" s="149">
        <v>2338</v>
      </c>
      <c r="L372" s="149">
        <v>7907</v>
      </c>
      <c r="M372" s="149">
        <v>3606</v>
      </c>
      <c r="N372" s="148">
        <v>530</v>
      </c>
      <c r="O372" s="150" t="s">
        <v>297</v>
      </c>
      <c r="P372" s="149">
        <v>415.9</v>
      </c>
      <c r="Q372" s="149">
        <v>402.6</v>
      </c>
      <c r="R372" s="149">
        <v>333.8</v>
      </c>
      <c r="S372" s="149">
        <v>38.9</v>
      </c>
      <c r="T372" s="149">
        <v>62.7</v>
      </c>
      <c r="U372" s="149">
        <v>20</v>
      </c>
      <c r="V372" s="149">
        <v>237.2</v>
      </c>
      <c r="W372" s="149">
        <v>2.66</v>
      </c>
      <c r="X372" s="149">
        <v>6.1</v>
      </c>
      <c r="Y372" s="149">
        <v>129800</v>
      </c>
      <c r="Z372" s="149">
        <v>39020</v>
      </c>
      <c r="AA372" s="149">
        <v>15.7</v>
      </c>
      <c r="AB372" s="149">
        <v>8.58</v>
      </c>
      <c r="AC372" s="149">
        <v>6448</v>
      </c>
      <c r="AD372" s="149">
        <v>2338</v>
      </c>
      <c r="AE372" s="149">
        <v>7907</v>
      </c>
      <c r="AF372" s="149">
        <v>3606</v>
      </c>
      <c r="AG372" s="149">
        <v>0.85699999999999998</v>
      </c>
      <c r="AH372" s="149">
        <v>5.69</v>
      </c>
      <c r="AI372" s="149">
        <v>11.3</v>
      </c>
      <c r="AJ372" s="149">
        <v>6063</v>
      </c>
      <c r="AK372" s="148">
        <v>530</v>
      </c>
    </row>
    <row r="373" spans="1:37">
      <c r="A373" s="150" t="s">
        <v>296</v>
      </c>
      <c r="B373" s="149">
        <v>391.4</v>
      </c>
      <c r="C373" s="149">
        <v>330.3</v>
      </c>
      <c r="D373" s="149">
        <v>35.4</v>
      </c>
      <c r="E373" s="149">
        <v>57.2</v>
      </c>
      <c r="F373" s="149">
        <v>20</v>
      </c>
      <c r="G373" s="149">
        <v>237</v>
      </c>
      <c r="H373" s="149">
        <v>113400</v>
      </c>
      <c r="I373" s="149">
        <v>34470</v>
      </c>
      <c r="J373" s="149">
        <v>5796</v>
      </c>
      <c r="K373" s="149">
        <v>2087</v>
      </c>
      <c r="L373" s="149">
        <v>7039</v>
      </c>
      <c r="M373" s="149">
        <v>3215</v>
      </c>
      <c r="N373" s="148">
        <v>479</v>
      </c>
      <c r="O373" s="150" t="s">
        <v>296</v>
      </c>
      <c r="P373" s="149">
        <v>376.3</v>
      </c>
      <c r="Q373" s="149">
        <v>391.4</v>
      </c>
      <c r="R373" s="149">
        <v>330.3</v>
      </c>
      <c r="S373" s="149">
        <v>35.4</v>
      </c>
      <c r="T373" s="149">
        <v>57.2</v>
      </c>
      <c r="U373" s="149">
        <v>20</v>
      </c>
      <c r="V373" s="149">
        <v>237</v>
      </c>
      <c r="W373" s="149">
        <v>2.89</v>
      </c>
      <c r="X373" s="149">
        <v>6.69</v>
      </c>
      <c r="Y373" s="149">
        <v>113400</v>
      </c>
      <c r="Z373" s="149">
        <v>34470</v>
      </c>
      <c r="AA373" s="149">
        <v>15.4</v>
      </c>
      <c r="AB373" s="149">
        <v>8.48</v>
      </c>
      <c r="AC373" s="149">
        <v>5796</v>
      </c>
      <c r="AD373" s="149">
        <v>2087</v>
      </c>
      <c r="AE373" s="149">
        <v>7039</v>
      </c>
      <c r="AF373" s="149">
        <v>3215</v>
      </c>
      <c r="AG373" s="149">
        <v>0.85599999999999998</v>
      </c>
      <c r="AH373" s="149">
        <v>6.11</v>
      </c>
      <c r="AI373" s="149">
        <v>9.6300000000000008</v>
      </c>
      <c r="AJ373" s="149">
        <v>4588</v>
      </c>
      <c r="AK373" s="148">
        <v>479</v>
      </c>
    </row>
    <row r="374" spans="1:37">
      <c r="A374" s="150" t="s">
        <v>295</v>
      </c>
      <c r="B374" s="149">
        <v>382.3</v>
      </c>
      <c r="C374" s="149">
        <v>327.5</v>
      </c>
      <c r="D374" s="149">
        <v>32.6</v>
      </c>
      <c r="E374" s="149">
        <v>52.6</v>
      </c>
      <c r="F374" s="149">
        <v>20</v>
      </c>
      <c r="G374" s="149">
        <v>237.1</v>
      </c>
      <c r="H374" s="149">
        <v>100800</v>
      </c>
      <c r="I374" s="149">
        <v>30890</v>
      </c>
      <c r="J374" s="149">
        <v>5274</v>
      </c>
      <c r="K374" s="149">
        <v>1886</v>
      </c>
      <c r="L374" s="149">
        <v>6351</v>
      </c>
      <c r="M374" s="149">
        <v>2902</v>
      </c>
      <c r="N374" s="148">
        <v>438</v>
      </c>
      <c r="O374" s="150" t="s">
        <v>295</v>
      </c>
      <c r="P374" s="149">
        <v>344.1</v>
      </c>
      <c r="Q374" s="149">
        <v>382.3</v>
      </c>
      <c r="R374" s="149">
        <v>327.5</v>
      </c>
      <c r="S374" s="149">
        <v>32.6</v>
      </c>
      <c r="T374" s="149">
        <v>52.6</v>
      </c>
      <c r="U374" s="149">
        <v>20</v>
      </c>
      <c r="V374" s="149">
        <v>237.1</v>
      </c>
      <c r="W374" s="149">
        <v>3.11</v>
      </c>
      <c r="X374" s="149">
        <v>7.27</v>
      </c>
      <c r="Y374" s="149">
        <v>100800</v>
      </c>
      <c r="Z374" s="149">
        <v>30890</v>
      </c>
      <c r="AA374" s="149">
        <v>15.2</v>
      </c>
      <c r="AB374" s="149">
        <v>8.39</v>
      </c>
      <c r="AC374" s="149">
        <v>5274</v>
      </c>
      <c r="AD374" s="149">
        <v>1886</v>
      </c>
      <c r="AE374" s="149">
        <v>6351</v>
      </c>
      <c r="AF374" s="149">
        <v>2902</v>
      </c>
      <c r="AG374" s="149">
        <v>0.85599999999999998</v>
      </c>
      <c r="AH374" s="149">
        <v>6.54</v>
      </c>
      <c r="AI374" s="149">
        <v>8.39</v>
      </c>
      <c r="AJ374" s="149">
        <v>3566</v>
      </c>
      <c r="AK374" s="148">
        <v>438</v>
      </c>
    </row>
    <row r="375" spans="1:37">
      <c r="A375" s="150" t="s">
        <v>294</v>
      </c>
      <c r="B375" s="149">
        <v>373.6</v>
      </c>
      <c r="C375" s="149">
        <v>324.89999999999998</v>
      </c>
      <c r="D375" s="149">
        <v>30</v>
      </c>
      <c r="E375" s="149">
        <v>48.3</v>
      </c>
      <c r="F375" s="149">
        <v>20</v>
      </c>
      <c r="G375" s="149">
        <v>237</v>
      </c>
      <c r="H375" s="149">
        <v>89570</v>
      </c>
      <c r="I375" s="149">
        <v>27680</v>
      </c>
      <c r="J375" s="149">
        <v>4795</v>
      </c>
      <c r="K375" s="149">
        <v>1704</v>
      </c>
      <c r="L375" s="149">
        <v>5726</v>
      </c>
      <c r="M375" s="149">
        <v>2618</v>
      </c>
      <c r="N375" s="148">
        <v>400</v>
      </c>
      <c r="O375" s="150" t="s">
        <v>294</v>
      </c>
      <c r="P375" s="149">
        <v>314.3</v>
      </c>
      <c r="Q375" s="149">
        <v>373.6</v>
      </c>
      <c r="R375" s="149">
        <v>324.89999999999998</v>
      </c>
      <c r="S375" s="149">
        <v>30</v>
      </c>
      <c r="T375" s="149">
        <v>48.3</v>
      </c>
      <c r="U375" s="149">
        <v>20</v>
      </c>
      <c r="V375" s="149">
        <v>237</v>
      </c>
      <c r="W375" s="149">
        <v>3.36</v>
      </c>
      <c r="X375" s="149">
        <v>7.9</v>
      </c>
      <c r="Y375" s="149">
        <v>89570</v>
      </c>
      <c r="Z375" s="149">
        <v>27680</v>
      </c>
      <c r="AA375" s="149">
        <v>15</v>
      </c>
      <c r="AB375" s="149">
        <v>8.32</v>
      </c>
      <c r="AC375" s="149">
        <v>4795</v>
      </c>
      <c r="AD375" s="149">
        <v>1704</v>
      </c>
      <c r="AE375" s="149">
        <v>5726</v>
      </c>
      <c r="AF375" s="149">
        <v>2618</v>
      </c>
      <c r="AG375" s="149">
        <v>0.85499999999999998</v>
      </c>
      <c r="AH375" s="149">
        <v>7.01</v>
      </c>
      <c r="AI375" s="149">
        <v>7.32</v>
      </c>
      <c r="AJ375" s="149">
        <v>2763</v>
      </c>
      <c r="AK375" s="148">
        <v>400</v>
      </c>
    </row>
    <row r="376" spans="1:37">
      <c r="A376" s="150" t="s">
        <v>293</v>
      </c>
      <c r="B376" s="149">
        <v>365.3</v>
      </c>
      <c r="C376" s="149">
        <v>321.8</v>
      </c>
      <c r="D376" s="149">
        <v>26.9</v>
      </c>
      <c r="E376" s="149">
        <v>44.1</v>
      </c>
      <c r="F376" s="149">
        <v>20</v>
      </c>
      <c r="G376" s="149">
        <v>237.1</v>
      </c>
      <c r="H376" s="149">
        <v>79050</v>
      </c>
      <c r="I376" s="149">
        <v>24550</v>
      </c>
      <c r="J376" s="149">
        <v>4328</v>
      </c>
      <c r="K376" s="149">
        <v>1526</v>
      </c>
      <c r="L376" s="149">
        <v>5121</v>
      </c>
      <c r="M376" s="149">
        <v>2340</v>
      </c>
      <c r="N376" s="148">
        <v>362</v>
      </c>
      <c r="O376" s="150" t="s">
        <v>293</v>
      </c>
      <c r="P376" s="149">
        <v>284</v>
      </c>
      <c r="Q376" s="149">
        <v>365.3</v>
      </c>
      <c r="R376" s="149">
        <v>321.8</v>
      </c>
      <c r="S376" s="149">
        <v>26.9</v>
      </c>
      <c r="T376" s="149">
        <v>44.1</v>
      </c>
      <c r="U376" s="149">
        <v>20</v>
      </c>
      <c r="V376" s="149">
        <v>237.1</v>
      </c>
      <c r="W376" s="149">
        <v>3.65</v>
      </c>
      <c r="X376" s="149">
        <v>8.81</v>
      </c>
      <c r="Y376" s="149">
        <v>79050</v>
      </c>
      <c r="Z376" s="149">
        <v>24550</v>
      </c>
      <c r="AA376" s="149">
        <v>14.8</v>
      </c>
      <c r="AB376" s="149">
        <v>8.24</v>
      </c>
      <c r="AC376" s="149">
        <v>4328</v>
      </c>
      <c r="AD376" s="149">
        <v>1526</v>
      </c>
      <c r="AE376" s="149">
        <v>5121</v>
      </c>
      <c r="AF376" s="149">
        <v>2340</v>
      </c>
      <c r="AG376" s="149">
        <v>0.85499999999999998</v>
      </c>
      <c r="AH376" s="149">
        <v>7.57</v>
      </c>
      <c r="AI376" s="149">
        <v>6.33</v>
      </c>
      <c r="AJ376" s="149">
        <v>2085</v>
      </c>
      <c r="AK376" s="148">
        <v>362</v>
      </c>
    </row>
    <row r="377" spans="1:37">
      <c r="A377" s="150" t="s">
        <v>292</v>
      </c>
      <c r="B377" s="149">
        <v>356.4</v>
      </c>
      <c r="C377" s="149">
        <v>319.3</v>
      </c>
      <c r="D377" s="149">
        <v>24.4</v>
      </c>
      <c r="E377" s="149">
        <v>39.6</v>
      </c>
      <c r="F377" s="149">
        <v>20</v>
      </c>
      <c r="G377" s="149">
        <v>237.2</v>
      </c>
      <c r="H377" s="149">
        <v>68730</v>
      </c>
      <c r="I377" s="149">
        <v>21530</v>
      </c>
      <c r="J377" s="149">
        <v>3857</v>
      </c>
      <c r="K377" s="149">
        <v>1349</v>
      </c>
      <c r="L377" s="149">
        <v>4520</v>
      </c>
      <c r="M377" s="149">
        <v>2066</v>
      </c>
      <c r="N377" s="148">
        <v>324</v>
      </c>
      <c r="O377" s="150" t="s">
        <v>292</v>
      </c>
      <c r="P377" s="149">
        <v>254.3</v>
      </c>
      <c r="Q377" s="149">
        <v>356.4</v>
      </c>
      <c r="R377" s="149">
        <v>319.3</v>
      </c>
      <c r="S377" s="149">
        <v>24.4</v>
      </c>
      <c r="T377" s="149">
        <v>39.6</v>
      </c>
      <c r="U377" s="149">
        <v>20</v>
      </c>
      <c r="V377" s="149">
        <v>237.2</v>
      </c>
      <c r="W377" s="149">
        <v>4.03</v>
      </c>
      <c r="X377" s="149">
        <v>9.7200000000000006</v>
      </c>
      <c r="Y377" s="149">
        <v>68730</v>
      </c>
      <c r="Z377" s="149">
        <v>21530</v>
      </c>
      <c r="AA377" s="149">
        <v>14.6</v>
      </c>
      <c r="AB377" s="149">
        <v>8.15</v>
      </c>
      <c r="AC377" s="149">
        <v>3857</v>
      </c>
      <c r="AD377" s="149">
        <v>1349</v>
      </c>
      <c r="AE377" s="149">
        <v>4520</v>
      </c>
      <c r="AF377" s="149">
        <v>2066</v>
      </c>
      <c r="AG377" s="149">
        <v>0.85399999999999998</v>
      </c>
      <c r="AH377" s="149">
        <v>8.2799999999999994</v>
      </c>
      <c r="AI377" s="149">
        <v>5.4</v>
      </c>
      <c r="AJ377" s="149">
        <v>1518</v>
      </c>
      <c r="AK377" s="148">
        <v>324</v>
      </c>
    </row>
    <row r="378" spans="1:37">
      <c r="A378" s="150" t="s">
        <v>291</v>
      </c>
      <c r="B378" s="149">
        <v>348.2</v>
      </c>
      <c r="C378" s="149">
        <v>317</v>
      </c>
      <c r="D378" s="149">
        <v>22.1</v>
      </c>
      <c r="E378" s="149">
        <v>35.6</v>
      </c>
      <c r="F378" s="149">
        <v>20</v>
      </c>
      <c r="G378" s="149">
        <v>237</v>
      </c>
      <c r="H378" s="149">
        <v>59910</v>
      </c>
      <c r="I378" s="149">
        <v>18930</v>
      </c>
      <c r="J378" s="149">
        <v>3441</v>
      </c>
      <c r="K378" s="149">
        <v>1195</v>
      </c>
      <c r="L378" s="149">
        <v>3998</v>
      </c>
      <c r="M378" s="149">
        <v>1828</v>
      </c>
      <c r="N378" s="148">
        <v>290</v>
      </c>
      <c r="O378" s="150" t="s">
        <v>291</v>
      </c>
      <c r="P378" s="149">
        <v>227.9</v>
      </c>
      <c r="Q378" s="149">
        <v>348.2</v>
      </c>
      <c r="R378" s="149">
        <v>317</v>
      </c>
      <c r="S378" s="149">
        <v>22.1</v>
      </c>
      <c r="T378" s="149">
        <v>35.6</v>
      </c>
      <c r="U378" s="149">
        <v>20</v>
      </c>
      <c r="V378" s="149">
        <v>237</v>
      </c>
      <c r="W378" s="149">
        <v>4.45</v>
      </c>
      <c r="X378" s="149">
        <v>10.7</v>
      </c>
      <c r="Y378" s="149">
        <v>59910</v>
      </c>
      <c r="Z378" s="149">
        <v>18930</v>
      </c>
      <c r="AA378" s="149">
        <v>14.4</v>
      </c>
      <c r="AB378" s="149">
        <v>8.08</v>
      </c>
      <c r="AC378" s="149">
        <v>3441</v>
      </c>
      <c r="AD378" s="149">
        <v>1195</v>
      </c>
      <c r="AE378" s="149">
        <v>3998</v>
      </c>
      <c r="AF378" s="149">
        <v>1828</v>
      </c>
      <c r="AG378" s="149">
        <v>0.85399999999999998</v>
      </c>
      <c r="AH378" s="149">
        <v>9.0500000000000007</v>
      </c>
      <c r="AI378" s="149">
        <v>4.63</v>
      </c>
      <c r="AJ378" s="149">
        <v>1109</v>
      </c>
      <c r="AK378" s="148">
        <v>290</v>
      </c>
    </row>
    <row r="379" spans="1:37">
      <c r="A379" s="150" t="s">
        <v>290</v>
      </c>
      <c r="B379" s="149">
        <v>340.6</v>
      </c>
      <c r="C379" s="149">
        <v>315</v>
      </c>
      <c r="D379" s="149">
        <v>20.100000000000001</v>
      </c>
      <c r="E379" s="149">
        <v>31.8</v>
      </c>
      <c r="F379" s="149">
        <v>20</v>
      </c>
      <c r="G379" s="149">
        <v>237</v>
      </c>
      <c r="H379" s="149">
        <v>52110</v>
      </c>
      <c r="I379" s="149">
        <v>16590</v>
      </c>
      <c r="J379" s="149">
        <v>3060</v>
      </c>
      <c r="K379" s="149">
        <v>1053</v>
      </c>
      <c r="L379" s="149">
        <v>3525</v>
      </c>
      <c r="M379" s="149">
        <v>1611</v>
      </c>
      <c r="N379" s="148">
        <v>259</v>
      </c>
      <c r="O379" s="150" t="s">
        <v>290</v>
      </c>
      <c r="P379" s="149">
        <v>203.7</v>
      </c>
      <c r="Q379" s="149">
        <v>340.6</v>
      </c>
      <c r="R379" s="149">
        <v>315</v>
      </c>
      <c r="S379" s="149">
        <v>20.100000000000001</v>
      </c>
      <c r="T379" s="149">
        <v>31.8</v>
      </c>
      <c r="U379" s="149">
        <v>20</v>
      </c>
      <c r="V379" s="149">
        <v>237</v>
      </c>
      <c r="W379" s="149">
        <v>4.95</v>
      </c>
      <c r="X379" s="149">
        <v>11.8</v>
      </c>
      <c r="Y379" s="149">
        <v>52110</v>
      </c>
      <c r="Z379" s="149">
        <v>16590</v>
      </c>
      <c r="AA379" s="149">
        <v>14.2</v>
      </c>
      <c r="AB379" s="149">
        <v>8</v>
      </c>
      <c r="AC379" s="149">
        <v>3060</v>
      </c>
      <c r="AD379" s="149">
        <v>1053</v>
      </c>
      <c r="AE379" s="149">
        <v>3525</v>
      </c>
      <c r="AF379" s="149">
        <v>1611</v>
      </c>
      <c r="AG379" s="149">
        <v>0.85199999999999998</v>
      </c>
      <c r="AH379" s="149">
        <v>9.9499999999999993</v>
      </c>
      <c r="AI379" s="149">
        <v>3.96</v>
      </c>
      <c r="AJ379" s="149">
        <v>800</v>
      </c>
      <c r="AK379" s="148">
        <v>259</v>
      </c>
    </row>
    <row r="380" spans="1:37">
      <c r="A380" s="150" t="s">
        <v>289</v>
      </c>
      <c r="B380" s="149">
        <v>333.2</v>
      </c>
      <c r="C380" s="149">
        <v>312.89999999999998</v>
      </c>
      <c r="D380" s="149">
        <v>18</v>
      </c>
      <c r="E380" s="149">
        <v>28.1</v>
      </c>
      <c r="F380" s="149">
        <v>20</v>
      </c>
      <c r="G380" s="149">
        <v>237</v>
      </c>
      <c r="H380" s="149">
        <v>44840</v>
      </c>
      <c r="I380" s="149">
        <v>14370</v>
      </c>
      <c r="J380" s="149">
        <v>2692</v>
      </c>
      <c r="K380" s="149">
        <v>918</v>
      </c>
      <c r="L380" s="149">
        <v>3074</v>
      </c>
      <c r="M380" s="149">
        <v>1403</v>
      </c>
      <c r="N380" s="148">
        <v>229</v>
      </c>
      <c r="O380" s="150" t="s">
        <v>289</v>
      </c>
      <c r="P380" s="149">
        <v>179.9</v>
      </c>
      <c r="Q380" s="149">
        <v>333.2</v>
      </c>
      <c r="R380" s="149">
        <v>312.89999999999998</v>
      </c>
      <c r="S380" s="149">
        <v>18</v>
      </c>
      <c r="T380" s="149">
        <v>28.1</v>
      </c>
      <c r="U380" s="149">
        <v>20</v>
      </c>
      <c r="V380" s="149">
        <v>237</v>
      </c>
      <c r="W380" s="149">
        <v>5.57</v>
      </c>
      <c r="X380" s="149">
        <v>13.2</v>
      </c>
      <c r="Y380" s="149">
        <v>44840</v>
      </c>
      <c r="Z380" s="149">
        <v>14370</v>
      </c>
      <c r="AA380" s="149">
        <v>14</v>
      </c>
      <c r="AB380" s="149">
        <v>7.92</v>
      </c>
      <c r="AC380" s="149">
        <v>2692</v>
      </c>
      <c r="AD380" s="149">
        <v>918</v>
      </c>
      <c r="AE380" s="149">
        <v>3074</v>
      </c>
      <c r="AF380" s="149">
        <v>1403</v>
      </c>
      <c r="AG380" s="149">
        <v>0.85099999999999998</v>
      </c>
      <c r="AH380" s="149">
        <v>11.1</v>
      </c>
      <c r="AI380" s="149">
        <v>3.34</v>
      </c>
      <c r="AJ380" s="149">
        <v>558</v>
      </c>
      <c r="AK380" s="148">
        <v>229</v>
      </c>
    </row>
    <row r="381" spans="1:37">
      <c r="A381" s="150" t="s">
        <v>288</v>
      </c>
      <c r="B381" s="149">
        <v>327.2</v>
      </c>
      <c r="C381" s="149">
        <v>310.60000000000002</v>
      </c>
      <c r="D381" s="149">
        <v>15.5</v>
      </c>
      <c r="E381" s="149">
        <v>25.1</v>
      </c>
      <c r="F381" s="149">
        <v>20</v>
      </c>
      <c r="G381" s="149">
        <v>237</v>
      </c>
      <c r="H381" s="149">
        <v>39020</v>
      </c>
      <c r="I381" s="149">
        <v>12550</v>
      </c>
      <c r="J381" s="149">
        <v>2385</v>
      </c>
      <c r="K381" s="149">
        <v>808</v>
      </c>
      <c r="L381" s="149">
        <v>2699</v>
      </c>
      <c r="M381" s="149">
        <v>1232</v>
      </c>
      <c r="N381" s="148">
        <v>202</v>
      </c>
      <c r="O381" s="150" t="s">
        <v>288</v>
      </c>
      <c r="P381" s="149">
        <v>158.80000000000001</v>
      </c>
      <c r="Q381" s="149">
        <v>327.2</v>
      </c>
      <c r="R381" s="149">
        <v>310.60000000000002</v>
      </c>
      <c r="S381" s="149">
        <v>15.5</v>
      </c>
      <c r="T381" s="149">
        <v>25.1</v>
      </c>
      <c r="U381" s="149">
        <v>20</v>
      </c>
      <c r="V381" s="149">
        <v>237</v>
      </c>
      <c r="W381" s="149">
        <v>6.19</v>
      </c>
      <c r="X381" s="149">
        <v>15.3</v>
      </c>
      <c r="Y381" s="149">
        <v>39020</v>
      </c>
      <c r="Z381" s="149">
        <v>12550</v>
      </c>
      <c r="AA381" s="149">
        <v>13.9</v>
      </c>
      <c r="AB381" s="149">
        <v>7.88</v>
      </c>
      <c r="AC381" s="149">
        <v>2385</v>
      </c>
      <c r="AD381" s="149">
        <v>808</v>
      </c>
      <c r="AE381" s="149">
        <v>2699</v>
      </c>
      <c r="AF381" s="149">
        <v>1232</v>
      </c>
      <c r="AG381" s="149">
        <v>0.85299999999999998</v>
      </c>
      <c r="AH381" s="149">
        <v>12.2</v>
      </c>
      <c r="AI381" s="149">
        <v>2.86</v>
      </c>
      <c r="AJ381" s="149">
        <v>394</v>
      </c>
      <c r="AK381" s="148">
        <v>202</v>
      </c>
    </row>
    <row r="382" spans="1:37">
      <c r="A382" s="150" t="s">
        <v>287</v>
      </c>
      <c r="B382" s="149">
        <v>322.8</v>
      </c>
      <c r="C382" s="149">
        <v>308.89999999999998</v>
      </c>
      <c r="D382" s="149">
        <v>14</v>
      </c>
      <c r="E382" s="149">
        <v>22.9</v>
      </c>
      <c r="F382" s="149">
        <v>20</v>
      </c>
      <c r="G382" s="149">
        <v>237</v>
      </c>
      <c r="H382" s="149">
        <v>34970</v>
      </c>
      <c r="I382" s="149">
        <v>11260</v>
      </c>
      <c r="J382" s="149">
        <v>2167</v>
      </c>
      <c r="K382" s="149">
        <v>729</v>
      </c>
      <c r="L382" s="149">
        <v>2436</v>
      </c>
      <c r="M382" s="149">
        <v>1110</v>
      </c>
      <c r="N382" s="148">
        <v>184</v>
      </c>
      <c r="O382" s="150" t="s">
        <v>287</v>
      </c>
      <c r="P382" s="149">
        <v>144.19999999999999</v>
      </c>
      <c r="Q382" s="149">
        <v>322.8</v>
      </c>
      <c r="R382" s="149">
        <v>308.89999999999998</v>
      </c>
      <c r="S382" s="149">
        <v>14</v>
      </c>
      <c r="T382" s="149">
        <v>22.9</v>
      </c>
      <c r="U382" s="149">
        <v>20</v>
      </c>
      <c r="V382" s="149">
        <v>237</v>
      </c>
      <c r="W382" s="149">
        <v>6.74</v>
      </c>
      <c r="X382" s="149">
        <v>16.899999999999999</v>
      </c>
      <c r="Y382" s="149">
        <v>34970</v>
      </c>
      <c r="Z382" s="149">
        <v>11260</v>
      </c>
      <c r="AA382" s="149">
        <v>13.8</v>
      </c>
      <c r="AB382" s="149">
        <v>7.83</v>
      </c>
      <c r="AC382" s="149">
        <v>2167</v>
      </c>
      <c r="AD382" s="149">
        <v>729</v>
      </c>
      <c r="AE382" s="149">
        <v>2436</v>
      </c>
      <c r="AF382" s="149">
        <v>1110</v>
      </c>
      <c r="AG382" s="149">
        <v>0.85299999999999998</v>
      </c>
      <c r="AH382" s="149">
        <v>13.3</v>
      </c>
      <c r="AI382" s="149">
        <v>2.5299999999999998</v>
      </c>
      <c r="AJ382" s="149">
        <v>300</v>
      </c>
      <c r="AK382" s="148">
        <v>184</v>
      </c>
    </row>
    <row r="383" spans="1:37">
      <c r="A383" s="150" t="s">
        <v>286</v>
      </c>
      <c r="B383" s="149">
        <v>318.3</v>
      </c>
      <c r="C383" s="149">
        <v>308</v>
      </c>
      <c r="D383" s="149">
        <v>13.1</v>
      </c>
      <c r="E383" s="149">
        <v>20.6</v>
      </c>
      <c r="F383" s="149">
        <v>20</v>
      </c>
      <c r="G383" s="149">
        <v>237.1</v>
      </c>
      <c r="H383" s="149">
        <v>31100</v>
      </c>
      <c r="I383" s="149">
        <v>10040</v>
      </c>
      <c r="J383" s="149">
        <v>1954</v>
      </c>
      <c r="K383" s="149">
        <v>652</v>
      </c>
      <c r="L383" s="149">
        <v>2186</v>
      </c>
      <c r="M383" s="149">
        <v>993</v>
      </c>
      <c r="N383" s="148">
        <v>167</v>
      </c>
      <c r="O383" s="150" t="s">
        <v>286</v>
      </c>
      <c r="P383" s="149">
        <v>130.80000000000001</v>
      </c>
      <c r="Q383" s="149">
        <v>318.3</v>
      </c>
      <c r="R383" s="149">
        <v>308</v>
      </c>
      <c r="S383" s="149">
        <v>13.1</v>
      </c>
      <c r="T383" s="149">
        <v>20.6</v>
      </c>
      <c r="U383" s="149">
        <v>20</v>
      </c>
      <c r="V383" s="149">
        <v>237.1</v>
      </c>
      <c r="W383" s="149">
        <v>7.48</v>
      </c>
      <c r="X383" s="149">
        <v>18.100000000000001</v>
      </c>
      <c r="Y383" s="149">
        <v>31100</v>
      </c>
      <c r="Z383" s="149">
        <v>10040</v>
      </c>
      <c r="AA383" s="149">
        <v>13.7</v>
      </c>
      <c r="AB383" s="149">
        <v>7.76</v>
      </c>
      <c r="AC383" s="149">
        <v>1954</v>
      </c>
      <c r="AD383" s="149">
        <v>652</v>
      </c>
      <c r="AE383" s="149">
        <v>2186</v>
      </c>
      <c r="AF383" s="149">
        <v>993</v>
      </c>
      <c r="AG383" s="149">
        <v>0.85199999999999998</v>
      </c>
      <c r="AH383" s="149">
        <v>14.5</v>
      </c>
      <c r="AI383" s="149">
        <v>2.2200000000000002</v>
      </c>
      <c r="AJ383" s="149">
        <v>224</v>
      </c>
      <c r="AK383" s="148">
        <v>167</v>
      </c>
    </row>
    <row r="384" spans="1:37">
      <c r="A384" s="150" t="s">
        <v>285</v>
      </c>
      <c r="B384" s="149">
        <v>314.5</v>
      </c>
      <c r="C384" s="149">
        <v>306.8</v>
      </c>
      <c r="D384" s="149">
        <v>11.9</v>
      </c>
      <c r="E384" s="149">
        <v>18.7</v>
      </c>
      <c r="F384" s="149">
        <v>20</v>
      </c>
      <c r="G384" s="149">
        <v>237.1</v>
      </c>
      <c r="H384" s="149">
        <v>27860</v>
      </c>
      <c r="I384" s="149">
        <v>9008</v>
      </c>
      <c r="J384" s="149">
        <v>1772</v>
      </c>
      <c r="K384" s="149">
        <v>587</v>
      </c>
      <c r="L384" s="149">
        <v>1972</v>
      </c>
      <c r="M384" s="149">
        <v>893</v>
      </c>
      <c r="N384" s="148">
        <v>151</v>
      </c>
      <c r="O384" s="150" t="s">
        <v>285</v>
      </c>
      <c r="P384" s="149">
        <v>118.7</v>
      </c>
      <c r="Q384" s="149">
        <v>314.5</v>
      </c>
      <c r="R384" s="149">
        <v>306.8</v>
      </c>
      <c r="S384" s="149">
        <v>11.9</v>
      </c>
      <c r="T384" s="149">
        <v>18.7</v>
      </c>
      <c r="U384" s="149">
        <v>20</v>
      </c>
      <c r="V384" s="149">
        <v>237.1</v>
      </c>
      <c r="W384" s="149">
        <v>8.1999999999999993</v>
      </c>
      <c r="X384" s="149">
        <v>19.899999999999999</v>
      </c>
      <c r="Y384" s="149">
        <v>27860</v>
      </c>
      <c r="Z384" s="149">
        <v>9008</v>
      </c>
      <c r="AA384" s="149">
        <v>13.6</v>
      </c>
      <c r="AB384" s="149">
        <v>7.72</v>
      </c>
      <c r="AC384" s="149">
        <v>1772</v>
      </c>
      <c r="AD384" s="149">
        <v>587</v>
      </c>
      <c r="AE384" s="149">
        <v>1972</v>
      </c>
      <c r="AF384" s="149">
        <v>893</v>
      </c>
      <c r="AG384" s="149">
        <v>0.85199999999999998</v>
      </c>
      <c r="AH384" s="149">
        <v>15.8</v>
      </c>
      <c r="AI384" s="149">
        <v>1.97</v>
      </c>
      <c r="AJ384" s="149">
        <v>170</v>
      </c>
      <c r="AK384" s="148">
        <v>151</v>
      </c>
    </row>
    <row r="385" spans="1:37">
      <c r="A385" s="150" t="s">
        <v>284</v>
      </c>
      <c r="B385" s="149">
        <v>311.2</v>
      </c>
      <c r="C385" s="149">
        <v>305.8</v>
      </c>
      <c r="D385" s="149">
        <v>10.9</v>
      </c>
      <c r="E385" s="149">
        <v>17</v>
      </c>
      <c r="F385" s="149">
        <v>20</v>
      </c>
      <c r="G385" s="149">
        <v>237.2</v>
      </c>
      <c r="H385" s="149">
        <v>25080</v>
      </c>
      <c r="I385" s="149">
        <v>8109</v>
      </c>
      <c r="J385" s="149">
        <v>1612</v>
      </c>
      <c r="K385" s="149">
        <v>530</v>
      </c>
      <c r="L385" s="149">
        <v>1785</v>
      </c>
      <c r="M385" s="149">
        <v>807</v>
      </c>
      <c r="N385" s="148">
        <v>138</v>
      </c>
      <c r="O385" s="150" t="s">
        <v>284</v>
      </c>
      <c r="P385" s="149">
        <v>108</v>
      </c>
      <c r="Q385" s="149">
        <v>311.2</v>
      </c>
      <c r="R385" s="149">
        <v>305.8</v>
      </c>
      <c r="S385" s="149">
        <v>10.9</v>
      </c>
      <c r="T385" s="149">
        <v>17</v>
      </c>
      <c r="U385" s="149">
        <v>20</v>
      </c>
      <c r="V385" s="149">
        <v>237.2</v>
      </c>
      <c r="W385" s="149">
        <v>8.99</v>
      </c>
      <c r="X385" s="149">
        <v>21.8</v>
      </c>
      <c r="Y385" s="149">
        <v>25080</v>
      </c>
      <c r="Z385" s="149">
        <v>8109</v>
      </c>
      <c r="AA385" s="149">
        <v>13.5</v>
      </c>
      <c r="AB385" s="149">
        <v>7.68</v>
      </c>
      <c r="AC385" s="149">
        <v>1612</v>
      </c>
      <c r="AD385" s="149">
        <v>530</v>
      </c>
      <c r="AE385" s="149">
        <v>1785</v>
      </c>
      <c r="AF385" s="149">
        <v>807</v>
      </c>
      <c r="AG385" s="149">
        <v>0.85199999999999998</v>
      </c>
      <c r="AH385" s="149">
        <v>17.100000000000001</v>
      </c>
      <c r="AI385" s="149">
        <v>1.75</v>
      </c>
      <c r="AJ385" s="149">
        <v>130</v>
      </c>
      <c r="AK385" s="148">
        <v>138</v>
      </c>
    </row>
    <row r="386" spans="1:37">
      <c r="A386" s="150" t="s">
        <v>283</v>
      </c>
      <c r="B386" s="149">
        <v>307.8</v>
      </c>
      <c r="C386" s="149">
        <v>304.8</v>
      </c>
      <c r="D386" s="149">
        <v>9.9</v>
      </c>
      <c r="E386" s="149">
        <v>15.4</v>
      </c>
      <c r="F386" s="149">
        <v>20</v>
      </c>
      <c r="G386" s="149">
        <v>237</v>
      </c>
      <c r="H386" s="149">
        <v>22460</v>
      </c>
      <c r="I386" s="149">
        <v>7274</v>
      </c>
      <c r="J386" s="149">
        <v>1459</v>
      </c>
      <c r="K386" s="149">
        <v>477</v>
      </c>
      <c r="L386" s="149">
        <v>1608</v>
      </c>
      <c r="M386" s="149">
        <v>725</v>
      </c>
      <c r="N386" s="148">
        <v>125</v>
      </c>
      <c r="O386" s="150" t="s">
        <v>283</v>
      </c>
      <c r="P386" s="149">
        <v>97.9</v>
      </c>
      <c r="Q386" s="149">
        <v>307.8</v>
      </c>
      <c r="R386" s="149">
        <v>304.8</v>
      </c>
      <c r="S386" s="149">
        <v>9.9</v>
      </c>
      <c r="T386" s="149">
        <v>15.4</v>
      </c>
      <c r="U386" s="149">
        <v>20</v>
      </c>
      <c r="V386" s="149">
        <v>237</v>
      </c>
      <c r="W386" s="149">
        <v>9.9</v>
      </c>
      <c r="X386" s="149">
        <v>23.9</v>
      </c>
      <c r="Y386" s="149">
        <v>22460</v>
      </c>
      <c r="Z386" s="149">
        <v>7274</v>
      </c>
      <c r="AA386" s="149">
        <v>13.4</v>
      </c>
      <c r="AB386" s="149">
        <v>7.64</v>
      </c>
      <c r="AC386" s="149">
        <v>1459</v>
      </c>
      <c r="AD386" s="149">
        <v>477</v>
      </c>
      <c r="AE386" s="149">
        <v>1608</v>
      </c>
      <c r="AF386" s="149">
        <v>725</v>
      </c>
      <c r="AG386" s="149">
        <v>0.85199999999999998</v>
      </c>
      <c r="AH386" s="149">
        <v>18.600000000000001</v>
      </c>
      <c r="AI386" s="149">
        <v>1.55</v>
      </c>
      <c r="AJ386" s="149">
        <v>98.3</v>
      </c>
      <c r="AK386" s="148">
        <v>125</v>
      </c>
    </row>
    <row r="387" spans="1:37">
      <c r="A387" s="150" t="s">
        <v>282</v>
      </c>
      <c r="B387" s="149">
        <v>312.7</v>
      </c>
      <c r="C387" s="149">
        <v>102.4</v>
      </c>
      <c r="D387" s="149">
        <v>6.6</v>
      </c>
      <c r="E387" s="149">
        <v>10.8</v>
      </c>
      <c r="F387" s="149">
        <v>20</v>
      </c>
      <c r="G387" s="149">
        <v>251.1</v>
      </c>
      <c r="H387" s="149">
        <v>7083</v>
      </c>
      <c r="I387" s="149">
        <v>197</v>
      </c>
      <c r="J387" s="149">
        <v>453</v>
      </c>
      <c r="K387" s="149">
        <v>38.4</v>
      </c>
      <c r="L387" s="149">
        <v>522</v>
      </c>
      <c r="M387" s="149">
        <v>62.5</v>
      </c>
      <c r="N387" s="148">
        <v>44.8</v>
      </c>
      <c r="O387" s="150" t="s">
        <v>282</v>
      </c>
      <c r="P387" s="149">
        <v>35.1</v>
      </c>
      <c r="Q387" s="149">
        <v>312.7</v>
      </c>
      <c r="R387" s="149">
        <v>102.4</v>
      </c>
      <c r="S387" s="149">
        <v>6.6</v>
      </c>
      <c r="T387" s="149">
        <v>10.8</v>
      </c>
      <c r="U387" s="149">
        <v>20</v>
      </c>
      <c r="V387" s="149">
        <v>251.1</v>
      </c>
      <c r="W387" s="149">
        <v>4.74</v>
      </c>
      <c r="X387" s="149">
        <v>38</v>
      </c>
      <c r="Y387" s="149">
        <v>7083</v>
      </c>
      <c r="Z387" s="149">
        <v>197</v>
      </c>
      <c r="AA387" s="149">
        <v>12.6</v>
      </c>
      <c r="AB387" s="149">
        <v>2.1</v>
      </c>
      <c r="AC387" s="149">
        <v>453</v>
      </c>
      <c r="AD387" s="149">
        <v>38.4</v>
      </c>
      <c r="AE387" s="149">
        <v>522</v>
      </c>
      <c r="AF387" s="149">
        <v>62.5</v>
      </c>
      <c r="AG387" s="149">
        <v>0.873</v>
      </c>
      <c r="AH387" s="149">
        <v>25.5</v>
      </c>
      <c r="AI387" s="149">
        <v>4.4999999999999998E-2</v>
      </c>
      <c r="AJ387" s="149">
        <v>20.100000000000001</v>
      </c>
      <c r="AK387" s="148">
        <v>44.8</v>
      </c>
    </row>
    <row r="388" spans="1:37">
      <c r="A388" s="150" t="s">
        <v>281</v>
      </c>
      <c r="B388" s="149">
        <v>308.89999999999998</v>
      </c>
      <c r="C388" s="149">
        <v>101.7</v>
      </c>
      <c r="D388" s="149">
        <v>6</v>
      </c>
      <c r="E388" s="149">
        <v>8.9</v>
      </c>
      <c r="F388" s="149">
        <v>20</v>
      </c>
      <c r="G388" s="149">
        <v>251.1</v>
      </c>
      <c r="H388" s="149">
        <v>5992</v>
      </c>
      <c r="I388" s="149">
        <v>159</v>
      </c>
      <c r="J388" s="149">
        <v>388</v>
      </c>
      <c r="K388" s="149">
        <v>31.3</v>
      </c>
      <c r="L388" s="149">
        <v>447</v>
      </c>
      <c r="M388" s="149">
        <v>51.2</v>
      </c>
      <c r="N388" s="148">
        <v>39</v>
      </c>
      <c r="O388" s="150" t="s">
        <v>281</v>
      </c>
      <c r="P388" s="149">
        <v>30.6</v>
      </c>
      <c r="Q388" s="149">
        <v>308.89999999999998</v>
      </c>
      <c r="R388" s="149">
        <v>101.7</v>
      </c>
      <c r="S388" s="149">
        <v>6</v>
      </c>
      <c r="T388" s="149">
        <v>8.9</v>
      </c>
      <c r="U388" s="149">
        <v>20</v>
      </c>
      <c r="V388" s="149">
        <v>251.1</v>
      </c>
      <c r="W388" s="149">
        <v>5.71</v>
      </c>
      <c r="X388" s="149">
        <v>41.8</v>
      </c>
      <c r="Y388" s="149">
        <v>5992</v>
      </c>
      <c r="Z388" s="149">
        <v>159</v>
      </c>
      <c r="AA388" s="149">
        <v>12.4</v>
      </c>
      <c r="AB388" s="149">
        <v>2.02</v>
      </c>
      <c r="AC388" s="149">
        <v>388</v>
      </c>
      <c r="AD388" s="149">
        <v>31.3</v>
      </c>
      <c r="AE388" s="149">
        <v>447</v>
      </c>
      <c r="AF388" s="149">
        <v>51.2</v>
      </c>
      <c r="AG388" s="149">
        <v>0.86799999999999999</v>
      </c>
      <c r="AH388" s="149">
        <v>28.3</v>
      </c>
      <c r="AI388" s="149">
        <v>3.5999999999999997E-2</v>
      </c>
      <c r="AJ388" s="149">
        <v>14.1</v>
      </c>
      <c r="AK388" s="148">
        <v>39</v>
      </c>
    </row>
    <row r="389" spans="1:37">
      <c r="A389" s="147" t="s">
        <v>280</v>
      </c>
      <c r="B389" s="146">
        <v>304.5</v>
      </c>
      <c r="C389" s="146">
        <v>101.3</v>
      </c>
      <c r="D389" s="146">
        <v>5.6</v>
      </c>
      <c r="E389" s="146">
        <v>6.7</v>
      </c>
      <c r="F389" s="146">
        <v>20</v>
      </c>
      <c r="G389" s="146">
        <v>251.1</v>
      </c>
      <c r="H389" s="146">
        <v>4845</v>
      </c>
      <c r="I389" s="146">
        <v>119</v>
      </c>
      <c r="J389" s="146">
        <v>318</v>
      </c>
      <c r="K389" s="146">
        <v>23.5</v>
      </c>
      <c r="L389" s="146">
        <v>369</v>
      </c>
      <c r="M389" s="146">
        <v>39.200000000000003</v>
      </c>
      <c r="N389" s="145">
        <v>33.299999999999997</v>
      </c>
      <c r="O389" s="147" t="s">
        <v>280</v>
      </c>
      <c r="P389" s="146">
        <v>26.1</v>
      </c>
      <c r="Q389" s="146">
        <v>304.5</v>
      </c>
      <c r="R389" s="146">
        <v>101.3</v>
      </c>
      <c r="S389" s="146">
        <v>5.6</v>
      </c>
      <c r="T389" s="146">
        <v>6.7</v>
      </c>
      <c r="U389" s="146">
        <v>20</v>
      </c>
      <c r="V389" s="146">
        <v>251.1</v>
      </c>
      <c r="W389" s="146">
        <v>7.56</v>
      </c>
      <c r="X389" s="146">
        <v>44.8</v>
      </c>
      <c r="Y389" s="146">
        <v>4845</v>
      </c>
      <c r="Z389" s="146">
        <v>119</v>
      </c>
      <c r="AA389" s="146">
        <v>12.1</v>
      </c>
      <c r="AB389" s="146">
        <v>1.89</v>
      </c>
      <c r="AC389" s="146">
        <v>318</v>
      </c>
      <c r="AD389" s="146">
        <v>23.5</v>
      </c>
      <c r="AE389" s="146">
        <v>369</v>
      </c>
      <c r="AF389" s="146">
        <v>39.200000000000003</v>
      </c>
      <c r="AG389" s="146">
        <v>0.85699999999999998</v>
      </c>
      <c r="AH389" s="146">
        <v>31.9</v>
      </c>
      <c r="AI389" s="146">
        <v>2.5999999999999999E-2</v>
      </c>
      <c r="AJ389" s="146">
        <v>9.32</v>
      </c>
      <c r="AK389" s="145">
        <v>33.299999999999997</v>
      </c>
    </row>
    <row r="390" spans="1:37">
      <c r="A390" s="150" t="s">
        <v>279</v>
      </c>
      <c r="B390" s="149">
        <v>289</v>
      </c>
      <c r="C390" s="149">
        <v>264.5</v>
      </c>
      <c r="D390" s="149">
        <v>19.2</v>
      </c>
      <c r="E390" s="149">
        <v>31.8</v>
      </c>
      <c r="F390" s="149">
        <v>20</v>
      </c>
      <c r="G390" s="149">
        <v>185.4</v>
      </c>
      <c r="H390" s="149">
        <v>30200</v>
      </c>
      <c r="I390" s="149">
        <v>9828</v>
      </c>
      <c r="J390" s="149">
        <v>2090</v>
      </c>
      <c r="K390" s="149">
        <v>743</v>
      </c>
      <c r="L390" s="149">
        <v>2444</v>
      </c>
      <c r="M390" s="149">
        <v>1138</v>
      </c>
      <c r="N390" s="148">
        <v>215</v>
      </c>
      <c r="O390" s="150" t="s">
        <v>279</v>
      </c>
      <c r="P390" s="149">
        <v>168.7</v>
      </c>
      <c r="Q390" s="149">
        <v>289</v>
      </c>
      <c r="R390" s="149">
        <v>264.5</v>
      </c>
      <c r="S390" s="149">
        <v>19.2</v>
      </c>
      <c r="T390" s="149">
        <v>31.8</v>
      </c>
      <c r="U390" s="149">
        <v>20</v>
      </c>
      <c r="V390" s="149">
        <v>185.4</v>
      </c>
      <c r="W390" s="149">
        <v>4.16</v>
      </c>
      <c r="X390" s="149">
        <v>9.66</v>
      </c>
      <c r="Y390" s="149">
        <v>30200</v>
      </c>
      <c r="Z390" s="149">
        <v>9828</v>
      </c>
      <c r="AA390" s="149">
        <v>11.9</v>
      </c>
      <c r="AB390" s="149">
        <v>6.76</v>
      </c>
      <c r="AC390" s="149">
        <v>2090</v>
      </c>
      <c r="AD390" s="149">
        <v>743</v>
      </c>
      <c r="AE390" s="149">
        <v>2444</v>
      </c>
      <c r="AF390" s="149">
        <v>1138</v>
      </c>
      <c r="AG390" s="149">
        <v>0.85199999999999998</v>
      </c>
      <c r="AH390" s="149">
        <v>8.2799999999999994</v>
      </c>
      <c r="AI390" s="149">
        <v>1.63</v>
      </c>
      <c r="AJ390" s="149">
        <v>665</v>
      </c>
      <c r="AK390" s="148">
        <v>215</v>
      </c>
    </row>
    <row r="391" spans="1:37">
      <c r="A391" s="150" t="s">
        <v>278</v>
      </c>
      <c r="B391" s="149">
        <v>282</v>
      </c>
      <c r="C391" s="149">
        <v>262.60000000000002</v>
      </c>
      <c r="D391" s="149">
        <v>17.3</v>
      </c>
      <c r="E391" s="149">
        <v>28.4</v>
      </c>
      <c r="F391" s="149">
        <v>20</v>
      </c>
      <c r="G391" s="149">
        <v>185.2</v>
      </c>
      <c r="H391" s="149">
        <v>26130</v>
      </c>
      <c r="I391" s="149">
        <v>8587</v>
      </c>
      <c r="J391" s="149">
        <v>1853</v>
      </c>
      <c r="K391" s="149">
        <v>654</v>
      </c>
      <c r="L391" s="149">
        <v>2148</v>
      </c>
      <c r="M391" s="149">
        <v>1001</v>
      </c>
      <c r="N391" s="148">
        <v>192</v>
      </c>
      <c r="O391" s="150" t="s">
        <v>278</v>
      </c>
      <c r="P391" s="149">
        <v>150.4</v>
      </c>
      <c r="Q391" s="149">
        <v>282</v>
      </c>
      <c r="R391" s="149">
        <v>262.60000000000002</v>
      </c>
      <c r="S391" s="149">
        <v>17.3</v>
      </c>
      <c r="T391" s="149">
        <v>28.4</v>
      </c>
      <c r="U391" s="149">
        <v>20</v>
      </c>
      <c r="V391" s="149">
        <v>185.2</v>
      </c>
      <c r="W391" s="149">
        <v>4.62</v>
      </c>
      <c r="X391" s="149">
        <v>10.7</v>
      </c>
      <c r="Y391" s="149">
        <v>26130</v>
      </c>
      <c r="Z391" s="149">
        <v>8587</v>
      </c>
      <c r="AA391" s="149">
        <v>11.7</v>
      </c>
      <c r="AB391" s="149">
        <v>6.7</v>
      </c>
      <c r="AC391" s="149">
        <v>1853</v>
      </c>
      <c r="AD391" s="149">
        <v>654</v>
      </c>
      <c r="AE391" s="149">
        <v>2148</v>
      </c>
      <c r="AF391" s="149">
        <v>1001</v>
      </c>
      <c r="AG391" s="149">
        <v>0.85099999999999998</v>
      </c>
      <c r="AH391" s="149">
        <v>9.08</v>
      </c>
      <c r="AI391" s="149">
        <v>1.38</v>
      </c>
      <c r="AJ391" s="149">
        <v>478</v>
      </c>
      <c r="AK391" s="148">
        <v>192</v>
      </c>
    </row>
    <row r="392" spans="1:37">
      <c r="A392" s="150" t="s">
        <v>277</v>
      </c>
      <c r="B392" s="149">
        <v>275.3</v>
      </c>
      <c r="C392" s="149">
        <v>260.7</v>
      </c>
      <c r="D392" s="149">
        <v>15.4</v>
      </c>
      <c r="E392" s="149">
        <v>25.1</v>
      </c>
      <c r="F392" s="149">
        <v>20</v>
      </c>
      <c r="G392" s="149">
        <v>185.1</v>
      </c>
      <c r="H392" s="149">
        <v>22420</v>
      </c>
      <c r="I392" s="149">
        <v>7425</v>
      </c>
      <c r="J392" s="149">
        <v>1628</v>
      </c>
      <c r="K392" s="149">
        <v>570</v>
      </c>
      <c r="L392" s="149">
        <v>1869</v>
      </c>
      <c r="M392" s="149">
        <v>870</v>
      </c>
      <c r="N392" s="148">
        <v>169</v>
      </c>
      <c r="O392" s="150" t="s">
        <v>277</v>
      </c>
      <c r="P392" s="149">
        <v>132.6</v>
      </c>
      <c r="Q392" s="149">
        <v>275.3</v>
      </c>
      <c r="R392" s="149">
        <v>260.7</v>
      </c>
      <c r="S392" s="149">
        <v>15.4</v>
      </c>
      <c r="T392" s="149">
        <v>25.1</v>
      </c>
      <c r="U392" s="149">
        <v>20</v>
      </c>
      <c r="V392" s="149">
        <v>185.1</v>
      </c>
      <c r="W392" s="149">
        <v>5.19</v>
      </c>
      <c r="X392" s="149">
        <v>12</v>
      </c>
      <c r="Y392" s="149">
        <v>22420</v>
      </c>
      <c r="Z392" s="149">
        <v>7425</v>
      </c>
      <c r="AA392" s="149">
        <v>11.5</v>
      </c>
      <c r="AB392" s="149">
        <v>6.63</v>
      </c>
      <c r="AC392" s="149">
        <v>1628</v>
      </c>
      <c r="AD392" s="149">
        <v>570</v>
      </c>
      <c r="AE392" s="149">
        <v>1869</v>
      </c>
      <c r="AF392" s="149">
        <v>870</v>
      </c>
      <c r="AG392" s="149">
        <v>0.85</v>
      </c>
      <c r="AH392" s="149">
        <v>10.1</v>
      </c>
      <c r="AI392" s="149">
        <v>1.1599999999999999</v>
      </c>
      <c r="AJ392" s="149">
        <v>334</v>
      </c>
      <c r="AK392" s="148">
        <v>169</v>
      </c>
    </row>
    <row r="393" spans="1:37">
      <c r="A393" s="150" t="s">
        <v>276</v>
      </c>
      <c r="B393" s="149">
        <v>269.3</v>
      </c>
      <c r="C393" s="149">
        <v>258.8</v>
      </c>
      <c r="D393" s="149">
        <v>13.5</v>
      </c>
      <c r="E393" s="149">
        <v>22.1</v>
      </c>
      <c r="F393" s="149">
        <v>20</v>
      </c>
      <c r="G393" s="149">
        <v>185.1</v>
      </c>
      <c r="H393" s="149">
        <v>19210</v>
      </c>
      <c r="I393" s="149">
        <v>6394</v>
      </c>
      <c r="J393" s="149">
        <v>1426</v>
      </c>
      <c r="K393" s="149">
        <v>494</v>
      </c>
      <c r="L393" s="149">
        <v>1622</v>
      </c>
      <c r="M393" s="149">
        <v>754</v>
      </c>
      <c r="N393" s="148">
        <v>148</v>
      </c>
      <c r="O393" s="150" t="s">
        <v>276</v>
      </c>
      <c r="P393" s="149">
        <v>116.3</v>
      </c>
      <c r="Q393" s="149">
        <v>269.3</v>
      </c>
      <c r="R393" s="149">
        <v>258.8</v>
      </c>
      <c r="S393" s="149">
        <v>13.5</v>
      </c>
      <c r="T393" s="149">
        <v>22.1</v>
      </c>
      <c r="U393" s="149">
        <v>20</v>
      </c>
      <c r="V393" s="149">
        <v>185.1</v>
      </c>
      <c r="W393" s="149">
        <v>5.86</v>
      </c>
      <c r="X393" s="149">
        <v>13.7</v>
      </c>
      <c r="Y393" s="149">
        <v>19210</v>
      </c>
      <c r="Z393" s="149">
        <v>6394</v>
      </c>
      <c r="AA393" s="149">
        <v>11.4</v>
      </c>
      <c r="AB393" s="149">
        <v>6.57</v>
      </c>
      <c r="AC393" s="149">
        <v>1426</v>
      </c>
      <c r="AD393" s="149">
        <v>494</v>
      </c>
      <c r="AE393" s="149">
        <v>1622</v>
      </c>
      <c r="AF393" s="149">
        <v>754</v>
      </c>
      <c r="AG393" s="149">
        <v>0.85</v>
      </c>
      <c r="AH393" s="149">
        <v>11.2</v>
      </c>
      <c r="AI393" s="149">
        <v>0.97699999999999998</v>
      </c>
      <c r="AJ393" s="149">
        <v>231</v>
      </c>
      <c r="AK393" s="148">
        <v>148</v>
      </c>
    </row>
    <row r="394" spans="1:37">
      <c r="A394" s="150" t="s">
        <v>275</v>
      </c>
      <c r="B394" s="149">
        <v>264.2</v>
      </c>
      <c r="C394" s="149">
        <v>257.3</v>
      </c>
      <c r="D394" s="149">
        <v>11.9</v>
      </c>
      <c r="E394" s="149">
        <v>19.600000000000001</v>
      </c>
      <c r="F394" s="149">
        <v>20</v>
      </c>
      <c r="G394" s="149">
        <v>185</v>
      </c>
      <c r="H394" s="149">
        <v>16650</v>
      </c>
      <c r="I394" s="149">
        <v>5572</v>
      </c>
      <c r="J394" s="149">
        <v>1260</v>
      </c>
      <c r="K394" s="149">
        <v>433</v>
      </c>
      <c r="L394" s="149">
        <v>1421</v>
      </c>
      <c r="M394" s="149">
        <v>660</v>
      </c>
      <c r="N394" s="148">
        <v>131</v>
      </c>
      <c r="O394" s="150" t="s">
        <v>275</v>
      </c>
      <c r="P394" s="149">
        <v>102.9</v>
      </c>
      <c r="Q394" s="149">
        <v>264.2</v>
      </c>
      <c r="R394" s="149">
        <v>257.3</v>
      </c>
      <c r="S394" s="149">
        <v>11.9</v>
      </c>
      <c r="T394" s="149">
        <v>19.600000000000001</v>
      </c>
      <c r="U394" s="149">
        <v>20</v>
      </c>
      <c r="V394" s="149">
        <v>185</v>
      </c>
      <c r="W394" s="149">
        <v>6.56</v>
      </c>
      <c r="X394" s="149">
        <v>15.5</v>
      </c>
      <c r="Y394" s="149">
        <v>16650</v>
      </c>
      <c r="Z394" s="149">
        <v>5572</v>
      </c>
      <c r="AA394" s="149">
        <v>11.3</v>
      </c>
      <c r="AB394" s="149">
        <v>6.52</v>
      </c>
      <c r="AC394" s="149">
        <v>1260</v>
      </c>
      <c r="AD394" s="149">
        <v>433</v>
      </c>
      <c r="AE394" s="149">
        <v>1421</v>
      </c>
      <c r="AF394" s="149">
        <v>660</v>
      </c>
      <c r="AG394" s="149">
        <v>0.85</v>
      </c>
      <c r="AH394" s="149">
        <v>12.4</v>
      </c>
      <c r="AI394" s="149">
        <v>0.83299999999999996</v>
      </c>
      <c r="AJ394" s="149">
        <v>163</v>
      </c>
      <c r="AK394" s="148">
        <v>131</v>
      </c>
    </row>
    <row r="395" spans="1:37">
      <c r="A395" s="150" t="s">
        <v>274</v>
      </c>
      <c r="B395" s="149">
        <v>259.60000000000002</v>
      </c>
      <c r="C395" s="149">
        <v>256</v>
      </c>
      <c r="D395" s="149">
        <v>10.7</v>
      </c>
      <c r="E395" s="149">
        <v>17.3</v>
      </c>
      <c r="F395" s="149">
        <v>20</v>
      </c>
      <c r="G395" s="149">
        <v>185</v>
      </c>
      <c r="H395" s="149">
        <v>14440</v>
      </c>
      <c r="I395" s="149">
        <v>4844</v>
      </c>
      <c r="J395" s="149">
        <v>1112</v>
      </c>
      <c r="K395" s="149">
        <v>378</v>
      </c>
      <c r="L395" s="149">
        <v>1246</v>
      </c>
      <c r="M395" s="149">
        <v>577</v>
      </c>
      <c r="N395" s="148">
        <v>116</v>
      </c>
      <c r="O395" s="150" t="s">
        <v>274</v>
      </c>
      <c r="P395" s="149">
        <v>91.1</v>
      </c>
      <c r="Q395" s="149">
        <v>259.60000000000002</v>
      </c>
      <c r="R395" s="149">
        <v>256</v>
      </c>
      <c r="S395" s="149">
        <v>10.7</v>
      </c>
      <c r="T395" s="149">
        <v>17.3</v>
      </c>
      <c r="U395" s="149">
        <v>20</v>
      </c>
      <c r="V395" s="149">
        <v>185</v>
      </c>
      <c r="W395" s="149">
        <v>7.4</v>
      </c>
      <c r="X395" s="149">
        <v>17.3</v>
      </c>
      <c r="Y395" s="149">
        <v>14440</v>
      </c>
      <c r="Z395" s="149">
        <v>4844</v>
      </c>
      <c r="AA395" s="149">
        <v>11.2</v>
      </c>
      <c r="AB395" s="149">
        <v>6.46</v>
      </c>
      <c r="AC395" s="149">
        <v>1112</v>
      </c>
      <c r="AD395" s="149">
        <v>378</v>
      </c>
      <c r="AE395" s="149">
        <v>1246</v>
      </c>
      <c r="AF395" s="149">
        <v>577</v>
      </c>
      <c r="AG395" s="149">
        <v>0.85</v>
      </c>
      <c r="AH395" s="149">
        <v>13.8</v>
      </c>
      <c r="AI395" s="149">
        <v>0.71099999999999997</v>
      </c>
      <c r="AJ395" s="149">
        <v>115</v>
      </c>
      <c r="AK395" s="148">
        <v>116</v>
      </c>
    </row>
    <row r="396" spans="1:37">
      <c r="A396" s="150" t="s">
        <v>273</v>
      </c>
      <c r="B396" s="149">
        <v>256.3</v>
      </c>
      <c r="C396" s="149">
        <v>254.8</v>
      </c>
      <c r="D396" s="149">
        <v>9.4</v>
      </c>
      <c r="E396" s="149">
        <v>15.6</v>
      </c>
      <c r="F396" s="149">
        <v>20</v>
      </c>
      <c r="G396" s="149">
        <v>185.1</v>
      </c>
      <c r="H396" s="149">
        <v>12830</v>
      </c>
      <c r="I396" s="149">
        <v>4306</v>
      </c>
      <c r="J396" s="149">
        <v>1001</v>
      </c>
      <c r="K396" s="149">
        <v>338</v>
      </c>
      <c r="L396" s="149">
        <v>1113</v>
      </c>
      <c r="M396" s="149">
        <v>515</v>
      </c>
      <c r="N396" s="148">
        <v>104</v>
      </c>
      <c r="O396" s="150" t="s">
        <v>273</v>
      </c>
      <c r="P396" s="149">
        <v>81.7</v>
      </c>
      <c r="Q396" s="149">
        <v>256.3</v>
      </c>
      <c r="R396" s="149">
        <v>254.8</v>
      </c>
      <c r="S396" s="149">
        <v>9.4</v>
      </c>
      <c r="T396" s="149">
        <v>15.6</v>
      </c>
      <c r="U396" s="149">
        <v>20</v>
      </c>
      <c r="V396" s="149">
        <v>185.1</v>
      </c>
      <c r="W396" s="149">
        <v>8.17</v>
      </c>
      <c r="X396" s="149">
        <v>19.7</v>
      </c>
      <c r="Y396" s="149">
        <v>12830</v>
      </c>
      <c r="Z396" s="149">
        <v>4306</v>
      </c>
      <c r="AA396" s="149">
        <v>11.1</v>
      </c>
      <c r="AB396" s="149">
        <v>6.43</v>
      </c>
      <c r="AC396" s="149">
        <v>1001</v>
      </c>
      <c r="AD396" s="149">
        <v>338</v>
      </c>
      <c r="AE396" s="149">
        <v>1113</v>
      </c>
      <c r="AF396" s="149">
        <v>515</v>
      </c>
      <c r="AG396" s="149">
        <v>0.85099999999999998</v>
      </c>
      <c r="AH396" s="149">
        <v>15</v>
      </c>
      <c r="AI396" s="149">
        <v>0.624</v>
      </c>
      <c r="AJ396" s="149">
        <v>85.3</v>
      </c>
      <c r="AK396" s="148">
        <v>104</v>
      </c>
    </row>
    <row r="397" spans="1:37">
      <c r="A397" s="150" t="s">
        <v>272</v>
      </c>
      <c r="B397" s="149">
        <v>253.5</v>
      </c>
      <c r="C397" s="149">
        <v>254</v>
      </c>
      <c r="D397" s="149">
        <v>8.6</v>
      </c>
      <c r="E397" s="149">
        <v>14.2</v>
      </c>
      <c r="F397" s="149">
        <v>20</v>
      </c>
      <c r="G397" s="149">
        <v>185.1</v>
      </c>
      <c r="H397" s="149">
        <v>11560</v>
      </c>
      <c r="I397" s="149">
        <v>3883</v>
      </c>
      <c r="J397" s="149">
        <v>912</v>
      </c>
      <c r="K397" s="149">
        <v>306</v>
      </c>
      <c r="L397" s="149">
        <v>1009</v>
      </c>
      <c r="M397" s="149">
        <v>465</v>
      </c>
      <c r="N397" s="148">
        <v>94.9</v>
      </c>
      <c r="O397" s="150" t="s">
        <v>272</v>
      </c>
      <c r="P397" s="149">
        <v>74.5</v>
      </c>
      <c r="Q397" s="149">
        <v>253.5</v>
      </c>
      <c r="R397" s="149">
        <v>254</v>
      </c>
      <c r="S397" s="149">
        <v>8.6</v>
      </c>
      <c r="T397" s="149">
        <v>14.2</v>
      </c>
      <c r="U397" s="149">
        <v>20</v>
      </c>
      <c r="V397" s="149">
        <v>185.1</v>
      </c>
      <c r="W397" s="149">
        <v>8.94</v>
      </c>
      <c r="X397" s="149">
        <v>21.5</v>
      </c>
      <c r="Y397" s="149">
        <v>11560</v>
      </c>
      <c r="Z397" s="149">
        <v>3883</v>
      </c>
      <c r="AA397" s="149">
        <v>11</v>
      </c>
      <c r="AB397" s="149">
        <v>6.4</v>
      </c>
      <c r="AC397" s="149">
        <v>912</v>
      </c>
      <c r="AD397" s="149">
        <v>306</v>
      </c>
      <c r="AE397" s="149">
        <v>1009</v>
      </c>
      <c r="AF397" s="149">
        <v>465</v>
      </c>
      <c r="AG397" s="149">
        <v>0.85099999999999998</v>
      </c>
      <c r="AH397" s="149">
        <v>16.2</v>
      </c>
      <c r="AI397" s="149">
        <v>0.55600000000000005</v>
      </c>
      <c r="AJ397" s="149">
        <v>66</v>
      </c>
      <c r="AK397" s="148">
        <v>94.9</v>
      </c>
    </row>
    <row r="398" spans="1:37" ht="15.6">
      <c r="A398" s="150" t="s">
        <v>271</v>
      </c>
      <c r="B398" s="149">
        <v>265.89999999999998</v>
      </c>
      <c r="C398" s="149">
        <v>147.6</v>
      </c>
      <c r="D398" s="149">
        <v>7.6</v>
      </c>
      <c r="E398" s="149">
        <v>13</v>
      </c>
      <c r="F398" s="149">
        <v>12.7</v>
      </c>
      <c r="G398" s="149">
        <v>214.5</v>
      </c>
      <c r="H398" s="149">
        <v>7206</v>
      </c>
      <c r="I398" s="149">
        <v>698</v>
      </c>
      <c r="J398" s="149">
        <v>542</v>
      </c>
      <c r="K398" s="149">
        <v>94.6</v>
      </c>
      <c r="L398" s="149">
        <v>611</v>
      </c>
      <c r="M398" s="149">
        <v>146</v>
      </c>
      <c r="N398" s="148">
        <v>58</v>
      </c>
      <c r="O398" s="150" t="s">
        <v>271</v>
      </c>
      <c r="P398" s="149">
        <v>45.5</v>
      </c>
      <c r="Q398" s="149">
        <v>265.89999999999998</v>
      </c>
      <c r="R398" s="149">
        <v>147.6</v>
      </c>
      <c r="S398" s="149">
        <v>7.6</v>
      </c>
      <c r="T398" s="149">
        <v>13</v>
      </c>
      <c r="U398" s="149">
        <v>12.7</v>
      </c>
      <c r="V398" s="149">
        <v>214.5</v>
      </c>
      <c r="W398" s="149">
        <v>5.68</v>
      </c>
      <c r="X398" s="149">
        <v>28.2</v>
      </c>
      <c r="Y398" s="149">
        <v>7206</v>
      </c>
      <c r="Z398" s="149">
        <v>698</v>
      </c>
      <c r="AA398" s="149">
        <v>11.1</v>
      </c>
      <c r="AB398" s="149">
        <v>3.47</v>
      </c>
      <c r="AC398" s="149">
        <v>542</v>
      </c>
      <c r="AD398" s="149">
        <v>94.6</v>
      </c>
      <c r="AE398" s="149">
        <v>611</v>
      </c>
      <c r="AF398" s="149">
        <v>146</v>
      </c>
      <c r="AG398" s="149">
        <v>0.89</v>
      </c>
      <c r="AH398" s="149">
        <v>20.399999999999999</v>
      </c>
      <c r="AI398" s="149">
        <v>0.112</v>
      </c>
      <c r="AJ398" s="149">
        <v>28.7</v>
      </c>
      <c r="AK398" s="148">
        <v>58</v>
      </c>
    </row>
    <row r="399" spans="1:37" ht="15.6">
      <c r="A399" s="150" t="s">
        <v>270</v>
      </c>
      <c r="B399" s="149">
        <v>262.39999999999998</v>
      </c>
      <c r="C399" s="149">
        <v>146.6</v>
      </c>
      <c r="D399" s="149">
        <v>6.6</v>
      </c>
      <c r="E399" s="149">
        <v>11.2</v>
      </c>
      <c r="F399" s="149">
        <v>12.7</v>
      </c>
      <c r="G399" s="149">
        <v>214.6</v>
      </c>
      <c r="H399" s="149">
        <v>6134</v>
      </c>
      <c r="I399" s="149">
        <v>589</v>
      </c>
      <c r="J399" s="149">
        <v>468</v>
      </c>
      <c r="K399" s="149">
        <v>80.400000000000006</v>
      </c>
      <c r="L399" s="149">
        <v>524</v>
      </c>
      <c r="M399" s="149">
        <v>124</v>
      </c>
      <c r="N399" s="148">
        <v>50.1</v>
      </c>
      <c r="O399" s="150" t="s">
        <v>270</v>
      </c>
      <c r="P399" s="149">
        <v>39.299999999999997</v>
      </c>
      <c r="Q399" s="149">
        <v>262.39999999999998</v>
      </c>
      <c r="R399" s="149">
        <v>146.6</v>
      </c>
      <c r="S399" s="149">
        <v>6.6</v>
      </c>
      <c r="T399" s="149">
        <v>11.2</v>
      </c>
      <c r="U399" s="149">
        <v>12.7</v>
      </c>
      <c r="V399" s="149">
        <v>214.6</v>
      </c>
      <c r="W399" s="149">
        <v>6.54</v>
      </c>
      <c r="X399" s="149">
        <v>32.5</v>
      </c>
      <c r="Y399" s="149">
        <v>6134</v>
      </c>
      <c r="Z399" s="149">
        <v>589</v>
      </c>
      <c r="AA399" s="149">
        <v>11.1</v>
      </c>
      <c r="AB399" s="149">
        <v>3.43</v>
      </c>
      <c r="AC399" s="149">
        <v>468</v>
      </c>
      <c r="AD399" s="149">
        <v>80.400000000000006</v>
      </c>
      <c r="AE399" s="149">
        <v>524</v>
      </c>
      <c r="AF399" s="149">
        <v>124</v>
      </c>
      <c r="AG399" s="149">
        <v>0.89</v>
      </c>
      <c r="AH399" s="149">
        <v>23.2</v>
      </c>
      <c r="AI399" s="149">
        <v>9.2999999999999999E-2</v>
      </c>
      <c r="AJ399" s="149">
        <v>18.8</v>
      </c>
      <c r="AK399" s="148">
        <v>50.1</v>
      </c>
    </row>
    <row r="400" spans="1:37" ht="15.6">
      <c r="A400" s="147" t="s">
        <v>269</v>
      </c>
      <c r="B400" s="146">
        <v>258.3</v>
      </c>
      <c r="C400" s="146">
        <v>146.1</v>
      </c>
      <c r="D400" s="146">
        <v>6.1</v>
      </c>
      <c r="E400" s="146">
        <v>9.1</v>
      </c>
      <c r="F400" s="146">
        <v>12.7</v>
      </c>
      <c r="G400" s="146">
        <v>214.7</v>
      </c>
      <c r="H400" s="146">
        <v>5024</v>
      </c>
      <c r="I400" s="146">
        <v>474</v>
      </c>
      <c r="J400" s="146">
        <v>389</v>
      </c>
      <c r="K400" s="146">
        <v>64.900000000000006</v>
      </c>
      <c r="L400" s="146">
        <v>435</v>
      </c>
      <c r="M400" s="146">
        <v>100</v>
      </c>
      <c r="N400" s="145">
        <v>42.6</v>
      </c>
      <c r="O400" s="147" t="s">
        <v>269</v>
      </c>
      <c r="P400" s="146">
        <v>33.5</v>
      </c>
      <c r="Q400" s="146">
        <v>258.3</v>
      </c>
      <c r="R400" s="146">
        <v>146.1</v>
      </c>
      <c r="S400" s="146">
        <v>6.1</v>
      </c>
      <c r="T400" s="146">
        <v>9.1</v>
      </c>
      <c r="U400" s="146">
        <v>12.7</v>
      </c>
      <c r="V400" s="146">
        <v>214.7</v>
      </c>
      <c r="W400" s="146">
        <v>8.0299999999999994</v>
      </c>
      <c r="X400" s="146">
        <v>35.200000000000003</v>
      </c>
      <c r="Y400" s="146">
        <v>5024</v>
      </c>
      <c r="Z400" s="146">
        <v>474</v>
      </c>
      <c r="AA400" s="146">
        <v>10.9</v>
      </c>
      <c r="AB400" s="146">
        <v>3.33</v>
      </c>
      <c r="AC400" s="146">
        <v>389</v>
      </c>
      <c r="AD400" s="146">
        <v>64.900000000000006</v>
      </c>
      <c r="AE400" s="146">
        <v>435</v>
      </c>
      <c r="AF400" s="146">
        <v>100</v>
      </c>
      <c r="AG400" s="146">
        <v>0.88300000000000001</v>
      </c>
      <c r="AH400" s="146">
        <v>27.2</v>
      </c>
      <c r="AI400" s="146">
        <v>7.3999999999999996E-2</v>
      </c>
      <c r="AJ400" s="146">
        <v>11.4</v>
      </c>
      <c r="AK400" s="145">
        <v>42.6</v>
      </c>
    </row>
    <row r="401" spans="1:37">
      <c r="A401" s="150" t="s">
        <v>268</v>
      </c>
      <c r="B401" s="149">
        <v>260.10000000000002</v>
      </c>
      <c r="C401" s="149">
        <v>102.1</v>
      </c>
      <c r="D401" s="149">
        <v>6.4</v>
      </c>
      <c r="E401" s="149">
        <v>10</v>
      </c>
      <c r="F401" s="149">
        <v>12.7</v>
      </c>
      <c r="G401" s="149">
        <v>214.7</v>
      </c>
      <c r="H401" s="149">
        <v>4123</v>
      </c>
      <c r="I401" s="149">
        <v>178</v>
      </c>
      <c r="J401" s="149">
        <v>317</v>
      </c>
      <c r="K401" s="149">
        <v>35</v>
      </c>
      <c r="L401" s="149">
        <v>364</v>
      </c>
      <c r="M401" s="149">
        <v>55.4</v>
      </c>
      <c r="N401" s="148">
        <v>37.200000000000003</v>
      </c>
      <c r="O401" s="150" t="s">
        <v>268</v>
      </c>
      <c r="P401" s="149">
        <v>29.2</v>
      </c>
      <c r="Q401" s="149">
        <v>260.10000000000002</v>
      </c>
      <c r="R401" s="149">
        <v>102.1</v>
      </c>
      <c r="S401" s="149">
        <v>6.4</v>
      </c>
      <c r="T401" s="149">
        <v>10</v>
      </c>
      <c r="U401" s="149">
        <v>12.7</v>
      </c>
      <c r="V401" s="149">
        <v>214.7</v>
      </c>
      <c r="W401" s="149">
        <v>5.0999999999999996</v>
      </c>
      <c r="X401" s="149">
        <v>33.5</v>
      </c>
      <c r="Y401" s="149">
        <v>4123</v>
      </c>
      <c r="Z401" s="149">
        <v>178</v>
      </c>
      <c r="AA401" s="149">
        <v>10.5</v>
      </c>
      <c r="AB401" s="149">
        <v>2.19</v>
      </c>
      <c r="AC401" s="149">
        <v>317</v>
      </c>
      <c r="AD401" s="149">
        <v>35</v>
      </c>
      <c r="AE401" s="149">
        <v>364</v>
      </c>
      <c r="AF401" s="149">
        <v>55.4</v>
      </c>
      <c r="AG401" s="149">
        <v>0.875</v>
      </c>
      <c r="AH401" s="149">
        <v>25.5</v>
      </c>
      <c r="AI401" s="149">
        <v>2.8000000000000001E-2</v>
      </c>
      <c r="AJ401" s="149">
        <v>11.4</v>
      </c>
      <c r="AK401" s="148">
        <v>37.200000000000003</v>
      </c>
    </row>
    <row r="402" spans="1:37">
      <c r="A402" s="150" t="s">
        <v>267</v>
      </c>
      <c r="B402" s="149">
        <v>256.8</v>
      </c>
      <c r="C402" s="149">
        <v>101.9</v>
      </c>
      <c r="D402" s="149">
        <v>6.1</v>
      </c>
      <c r="E402" s="149">
        <v>8.4</v>
      </c>
      <c r="F402" s="149">
        <v>12.7</v>
      </c>
      <c r="G402" s="149">
        <v>214.6</v>
      </c>
      <c r="H402" s="149">
        <v>3535</v>
      </c>
      <c r="I402" s="149">
        <v>149</v>
      </c>
      <c r="J402" s="149">
        <v>275</v>
      </c>
      <c r="K402" s="149">
        <v>29.3</v>
      </c>
      <c r="L402" s="149">
        <v>317</v>
      </c>
      <c r="M402" s="149">
        <v>46.7</v>
      </c>
      <c r="N402" s="148">
        <v>33.1</v>
      </c>
      <c r="O402" s="150" t="s">
        <v>267</v>
      </c>
      <c r="P402" s="149">
        <v>26</v>
      </c>
      <c r="Q402" s="149">
        <v>256.8</v>
      </c>
      <c r="R402" s="149">
        <v>101.9</v>
      </c>
      <c r="S402" s="149">
        <v>6.1</v>
      </c>
      <c r="T402" s="149">
        <v>8.4</v>
      </c>
      <c r="U402" s="149">
        <v>12.7</v>
      </c>
      <c r="V402" s="149">
        <v>214.6</v>
      </c>
      <c r="W402" s="149">
        <v>6.07</v>
      </c>
      <c r="X402" s="149">
        <v>35.200000000000003</v>
      </c>
      <c r="Y402" s="149">
        <v>3535</v>
      </c>
      <c r="Z402" s="149">
        <v>149</v>
      </c>
      <c r="AA402" s="149">
        <v>10.3</v>
      </c>
      <c r="AB402" s="149">
        <v>2.12</v>
      </c>
      <c r="AC402" s="149">
        <v>275</v>
      </c>
      <c r="AD402" s="149">
        <v>29.3</v>
      </c>
      <c r="AE402" s="149">
        <v>317</v>
      </c>
      <c r="AF402" s="149">
        <v>46.7</v>
      </c>
      <c r="AG402" s="149">
        <v>0.86799999999999999</v>
      </c>
      <c r="AH402" s="149">
        <v>28.7</v>
      </c>
      <c r="AI402" s="149">
        <v>2.3E-2</v>
      </c>
      <c r="AJ402" s="149">
        <v>7.96</v>
      </c>
      <c r="AK402" s="148">
        <v>33.1</v>
      </c>
    </row>
    <row r="403" spans="1:37">
      <c r="A403" s="147" t="s">
        <v>266</v>
      </c>
      <c r="B403" s="146">
        <v>253.7</v>
      </c>
      <c r="C403" s="146">
        <v>101.6</v>
      </c>
      <c r="D403" s="146">
        <v>5.8</v>
      </c>
      <c r="E403" s="146">
        <v>6.9</v>
      </c>
      <c r="F403" s="146">
        <v>12.7</v>
      </c>
      <c r="G403" s="146">
        <v>214.5</v>
      </c>
      <c r="H403" s="146">
        <v>2993</v>
      </c>
      <c r="I403" s="146">
        <v>122</v>
      </c>
      <c r="J403" s="146">
        <v>236</v>
      </c>
      <c r="K403" s="146">
        <v>23.9</v>
      </c>
      <c r="L403" s="146">
        <v>273</v>
      </c>
      <c r="M403" s="146">
        <v>38.4</v>
      </c>
      <c r="N403" s="145">
        <v>29.3</v>
      </c>
      <c r="O403" s="147" t="s">
        <v>266</v>
      </c>
      <c r="P403" s="146">
        <v>23</v>
      </c>
      <c r="Q403" s="146">
        <v>253.7</v>
      </c>
      <c r="R403" s="146">
        <v>101.6</v>
      </c>
      <c r="S403" s="146">
        <v>5.8</v>
      </c>
      <c r="T403" s="146">
        <v>6.9</v>
      </c>
      <c r="U403" s="146">
        <v>12.7</v>
      </c>
      <c r="V403" s="146">
        <v>214.5</v>
      </c>
      <c r="W403" s="146">
        <v>7.36</v>
      </c>
      <c r="X403" s="146">
        <v>37</v>
      </c>
      <c r="Y403" s="146">
        <v>2993</v>
      </c>
      <c r="Z403" s="146">
        <v>122</v>
      </c>
      <c r="AA403" s="146">
        <v>10.1</v>
      </c>
      <c r="AB403" s="146">
        <v>2.04</v>
      </c>
      <c r="AC403" s="146">
        <v>236</v>
      </c>
      <c r="AD403" s="146">
        <v>23.9</v>
      </c>
      <c r="AE403" s="146">
        <v>273</v>
      </c>
      <c r="AF403" s="146">
        <v>38.4</v>
      </c>
      <c r="AG403" s="146">
        <v>0.85899999999999999</v>
      </c>
      <c r="AH403" s="146">
        <v>32.299999999999997</v>
      </c>
      <c r="AI403" s="146">
        <v>1.9E-2</v>
      </c>
      <c r="AJ403" s="146">
        <v>5.49</v>
      </c>
      <c r="AK403" s="145">
        <v>29.3</v>
      </c>
    </row>
    <row r="404" spans="1:37">
      <c r="A404" s="150" t="s">
        <v>265</v>
      </c>
      <c r="B404" s="149">
        <v>228.6</v>
      </c>
      <c r="C404" s="149">
        <v>210.3</v>
      </c>
      <c r="D404" s="149">
        <v>14.5</v>
      </c>
      <c r="E404" s="149">
        <v>23.7</v>
      </c>
      <c r="F404" s="149">
        <v>16</v>
      </c>
      <c r="G404" s="149">
        <v>149.19999999999999</v>
      </c>
      <c r="H404" s="149">
        <v>11390</v>
      </c>
      <c r="I404" s="149">
        <v>3681</v>
      </c>
      <c r="J404" s="149">
        <v>997</v>
      </c>
      <c r="K404" s="149">
        <v>350</v>
      </c>
      <c r="L404" s="149">
        <v>1159</v>
      </c>
      <c r="M404" s="149">
        <v>536</v>
      </c>
      <c r="N404" s="148">
        <v>128</v>
      </c>
      <c r="O404" s="150" t="s">
        <v>265</v>
      </c>
      <c r="P404" s="149">
        <v>100.6</v>
      </c>
      <c r="Q404" s="149">
        <v>228.6</v>
      </c>
      <c r="R404" s="149">
        <v>210.3</v>
      </c>
      <c r="S404" s="149">
        <v>14.5</v>
      </c>
      <c r="T404" s="149">
        <v>23.7</v>
      </c>
      <c r="U404" s="149">
        <v>16</v>
      </c>
      <c r="V404" s="149">
        <v>149.19999999999999</v>
      </c>
      <c r="W404" s="149">
        <v>4.4400000000000004</v>
      </c>
      <c r="X404" s="149">
        <v>10.3</v>
      </c>
      <c r="Y404" s="149">
        <v>11390</v>
      </c>
      <c r="Z404" s="149">
        <v>3681</v>
      </c>
      <c r="AA404" s="149">
        <v>9.43</v>
      </c>
      <c r="AB404" s="149">
        <v>5.36</v>
      </c>
      <c r="AC404" s="149">
        <v>997</v>
      </c>
      <c r="AD404" s="149">
        <v>350</v>
      </c>
      <c r="AE404" s="149">
        <v>1159</v>
      </c>
      <c r="AF404" s="149">
        <v>536</v>
      </c>
      <c r="AG404" s="149">
        <v>0.85199999999999998</v>
      </c>
      <c r="AH404" s="149">
        <v>8.81</v>
      </c>
      <c r="AI404" s="149">
        <v>0.38600000000000001</v>
      </c>
      <c r="AJ404" s="149">
        <v>222</v>
      </c>
      <c r="AK404" s="148">
        <v>128</v>
      </c>
    </row>
    <row r="405" spans="1:37">
      <c r="A405" s="150" t="s">
        <v>264</v>
      </c>
      <c r="B405" s="149">
        <v>222.3</v>
      </c>
      <c r="C405" s="149">
        <v>208.8</v>
      </c>
      <c r="D405" s="149">
        <v>13</v>
      </c>
      <c r="E405" s="149">
        <v>20.6</v>
      </c>
      <c r="F405" s="149">
        <v>16</v>
      </c>
      <c r="G405" s="149">
        <v>149.1</v>
      </c>
      <c r="H405" s="149">
        <v>9590</v>
      </c>
      <c r="I405" s="149">
        <v>3131</v>
      </c>
      <c r="J405" s="149">
        <v>863</v>
      </c>
      <c r="K405" s="149">
        <v>300</v>
      </c>
      <c r="L405" s="149">
        <v>993</v>
      </c>
      <c r="M405" s="149">
        <v>459</v>
      </c>
      <c r="N405" s="148">
        <v>112</v>
      </c>
      <c r="O405" s="150" t="s">
        <v>264</v>
      </c>
      <c r="P405" s="149">
        <v>87.7</v>
      </c>
      <c r="Q405" s="149">
        <v>222.3</v>
      </c>
      <c r="R405" s="149">
        <v>208.8</v>
      </c>
      <c r="S405" s="149">
        <v>13</v>
      </c>
      <c r="T405" s="149">
        <v>20.6</v>
      </c>
      <c r="U405" s="149">
        <v>16</v>
      </c>
      <c r="V405" s="149">
        <v>149.1</v>
      </c>
      <c r="W405" s="149">
        <v>5.07</v>
      </c>
      <c r="X405" s="149">
        <v>11.5</v>
      </c>
      <c r="Y405" s="149">
        <v>9590</v>
      </c>
      <c r="Z405" s="149">
        <v>3131</v>
      </c>
      <c r="AA405" s="149">
        <v>9.26</v>
      </c>
      <c r="AB405" s="149">
        <v>5.29</v>
      </c>
      <c r="AC405" s="149">
        <v>863</v>
      </c>
      <c r="AD405" s="149">
        <v>300</v>
      </c>
      <c r="AE405" s="149">
        <v>993</v>
      </c>
      <c r="AF405" s="149">
        <v>459</v>
      </c>
      <c r="AG405" s="149">
        <v>0.85</v>
      </c>
      <c r="AH405" s="149">
        <v>9.8800000000000008</v>
      </c>
      <c r="AI405" s="149">
        <v>0.318</v>
      </c>
      <c r="AJ405" s="149">
        <v>149</v>
      </c>
      <c r="AK405" s="148">
        <v>112</v>
      </c>
    </row>
    <row r="406" spans="1:37">
      <c r="A406" s="150" t="s">
        <v>263</v>
      </c>
      <c r="B406" s="149">
        <v>215.9</v>
      </c>
      <c r="C406" s="149">
        <v>206</v>
      </c>
      <c r="D406" s="149">
        <v>10.199999999999999</v>
      </c>
      <c r="E406" s="149">
        <v>17.399999999999999</v>
      </c>
      <c r="F406" s="149">
        <v>16</v>
      </c>
      <c r="G406" s="149">
        <v>149.1</v>
      </c>
      <c r="H406" s="149">
        <v>7751</v>
      </c>
      <c r="I406" s="149">
        <v>2539</v>
      </c>
      <c r="J406" s="149">
        <v>718</v>
      </c>
      <c r="K406" s="149">
        <v>246</v>
      </c>
      <c r="L406" s="149">
        <v>814</v>
      </c>
      <c r="M406" s="149">
        <v>376</v>
      </c>
      <c r="N406" s="148">
        <v>92.4</v>
      </c>
      <c r="O406" s="150" t="s">
        <v>263</v>
      </c>
      <c r="P406" s="149">
        <v>72.5</v>
      </c>
      <c r="Q406" s="149">
        <v>215.9</v>
      </c>
      <c r="R406" s="149">
        <v>206</v>
      </c>
      <c r="S406" s="149">
        <v>10.199999999999999</v>
      </c>
      <c r="T406" s="149">
        <v>17.399999999999999</v>
      </c>
      <c r="U406" s="149">
        <v>16</v>
      </c>
      <c r="V406" s="149">
        <v>149.1</v>
      </c>
      <c r="W406" s="149">
        <v>5.92</v>
      </c>
      <c r="X406" s="149">
        <v>14.6</v>
      </c>
      <c r="Y406" s="149">
        <v>7751</v>
      </c>
      <c r="Z406" s="149">
        <v>2539</v>
      </c>
      <c r="AA406" s="149">
        <v>9.16</v>
      </c>
      <c r="AB406" s="149">
        <v>5.24</v>
      </c>
      <c r="AC406" s="149">
        <v>718</v>
      </c>
      <c r="AD406" s="149">
        <v>246</v>
      </c>
      <c r="AE406" s="149">
        <v>814</v>
      </c>
      <c r="AF406" s="149">
        <v>376</v>
      </c>
      <c r="AG406" s="149">
        <v>0.85299999999999998</v>
      </c>
      <c r="AH406" s="149">
        <v>11.5</v>
      </c>
      <c r="AI406" s="149">
        <v>0.25</v>
      </c>
      <c r="AJ406" s="149">
        <v>88.6</v>
      </c>
      <c r="AK406" s="148">
        <v>92.4</v>
      </c>
    </row>
    <row r="407" spans="1:37">
      <c r="A407" s="150" t="s">
        <v>262</v>
      </c>
      <c r="B407" s="149">
        <v>209.6</v>
      </c>
      <c r="C407" s="149">
        <v>205</v>
      </c>
      <c r="D407" s="149">
        <v>9.1</v>
      </c>
      <c r="E407" s="149">
        <v>14.2</v>
      </c>
      <c r="F407" s="149">
        <v>16</v>
      </c>
      <c r="G407" s="149">
        <v>149.19999999999999</v>
      </c>
      <c r="H407" s="149">
        <v>6185</v>
      </c>
      <c r="I407" s="149">
        <v>2042</v>
      </c>
      <c r="J407" s="149">
        <v>590</v>
      </c>
      <c r="K407" s="149">
        <v>199</v>
      </c>
      <c r="L407" s="149">
        <v>663</v>
      </c>
      <c r="M407" s="149">
        <v>304</v>
      </c>
      <c r="N407" s="148">
        <v>76.900000000000006</v>
      </c>
      <c r="O407" s="150" t="s">
        <v>262</v>
      </c>
      <c r="P407" s="149">
        <v>60.4</v>
      </c>
      <c r="Q407" s="149">
        <v>209.6</v>
      </c>
      <c r="R407" s="149">
        <v>205</v>
      </c>
      <c r="S407" s="149">
        <v>9.1</v>
      </c>
      <c r="T407" s="149">
        <v>14.2</v>
      </c>
      <c r="U407" s="149">
        <v>16</v>
      </c>
      <c r="V407" s="149">
        <v>149.19999999999999</v>
      </c>
      <c r="W407" s="149">
        <v>7.22</v>
      </c>
      <c r="X407" s="149">
        <v>16.399999999999999</v>
      </c>
      <c r="Y407" s="149">
        <v>6185</v>
      </c>
      <c r="Z407" s="149">
        <v>2042</v>
      </c>
      <c r="AA407" s="149">
        <v>8.9700000000000006</v>
      </c>
      <c r="AB407" s="149">
        <v>5.15</v>
      </c>
      <c r="AC407" s="149">
        <v>590</v>
      </c>
      <c r="AD407" s="149">
        <v>199</v>
      </c>
      <c r="AE407" s="149">
        <v>663</v>
      </c>
      <c r="AF407" s="149">
        <v>304</v>
      </c>
      <c r="AG407" s="149">
        <v>0.85</v>
      </c>
      <c r="AH407" s="149">
        <v>13.5</v>
      </c>
      <c r="AI407" s="149">
        <v>0.19500000000000001</v>
      </c>
      <c r="AJ407" s="149">
        <v>51.5</v>
      </c>
      <c r="AK407" s="148">
        <v>76.900000000000006</v>
      </c>
    </row>
    <row r="408" spans="1:37">
      <c r="A408" s="150" t="s">
        <v>261</v>
      </c>
      <c r="B408" s="149">
        <v>206.2</v>
      </c>
      <c r="C408" s="149">
        <v>203.7</v>
      </c>
      <c r="D408" s="149">
        <v>7.9</v>
      </c>
      <c r="E408" s="149">
        <v>12.6</v>
      </c>
      <c r="F408" s="149">
        <v>16</v>
      </c>
      <c r="G408" s="149">
        <v>149</v>
      </c>
      <c r="H408" s="149">
        <v>5373</v>
      </c>
      <c r="I408" s="149">
        <v>1777</v>
      </c>
      <c r="J408" s="149">
        <v>521</v>
      </c>
      <c r="K408" s="149">
        <v>174</v>
      </c>
      <c r="L408" s="149">
        <v>581</v>
      </c>
      <c r="M408" s="149">
        <v>266</v>
      </c>
      <c r="N408" s="148">
        <v>67.8</v>
      </c>
      <c r="O408" s="150" t="s">
        <v>261</v>
      </c>
      <c r="P408" s="149">
        <v>53.2</v>
      </c>
      <c r="Q408" s="149">
        <v>206.2</v>
      </c>
      <c r="R408" s="149">
        <v>203.7</v>
      </c>
      <c r="S408" s="149">
        <v>7.9</v>
      </c>
      <c r="T408" s="149">
        <v>12.6</v>
      </c>
      <c r="U408" s="149">
        <v>16</v>
      </c>
      <c r="V408" s="149">
        <v>149</v>
      </c>
      <c r="W408" s="149">
        <v>8.08</v>
      </c>
      <c r="X408" s="149">
        <v>18.899999999999999</v>
      </c>
      <c r="Y408" s="149">
        <v>5373</v>
      </c>
      <c r="Z408" s="149">
        <v>1777</v>
      </c>
      <c r="AA408" s="149">
        <v>8.9</v>
      </c>
      <c r="AB408" s="149">
        <v>5.12</v>
      </c>
      <c r="AC408" s="149">
        <v>521</v>
      </c>
      <c r="AD408" s="149">
        <v>174</v>
      </c>
      <c r="AE408" s="149">
        <v>581</v>
      </c>
      <c r="AF408" s="149">
        <v>266</v>
      </c>
      <c r="AG408" s="149">
        <v>0.85099999999999998</v>
      </c>
      <c r="AH408" s="149">
        <v>15</v>
      </c>
      <c r="AI408" s="149">
        <v>0.16700000000000001</v>
      </c>
      <c r="AJ408" s="149">
        <v>36.4</v>
      </c>
      <c r="AK408" s="148">
        <v>67.8</v>
      </c>
    </row>
    <row r="409" spans="1:37">
      <c r="A409" s="150" t="s">
        <v>260</v>
      </c>
      <c r="B409" s="149">
        <v>203.2</v>
      </c>
      <c r="C409" s="149">
        <v>203.2</v>
      </c>
      <c r="D409" s="149">
        <v>7.2</v>
      </c>
      <c r="E409" s="149">
        <v>11</v>
      </c>
      <c r="F409" s="149">
        <v>16</v>
      </c>
      <c r="G409" s="149">
        <v>149.19999999999999</v>
      </c>
      <c r="H409" s="149">
        <v>4657</v>
      </c>
      <c r="I409" s="149">
        <v>1540</v>
      </c>
      <c r="J409" s="149">
        <v>458</v>
      </c>
      <c r="K409" s="149">
        <v>152</v>
      </c>
      <c r="L409" s="149">
        <v>508</v>
      </c>
      <c r="M409" s="149">
        <v>231</v>
      </c>
      <c r="N409" s="148">
        <v>59.9</v>
      </c>
      <c r="O409" s="150" t="s">
        <v>260</v>
      </c>
      <c r="P409" s="149">
        <v>47.1</v>
      </c>
      <c r="Q409" s="149">
        <v>203.2</v>
      </c>
      <c r="R409" s="149">
        <v>203.2</v>
      </c>
      <c r="S409" s="149">
        <v>7.2</v>
      </c>
      <c r="T409" s="149">
        <v>11</v>
      </c>
      <c r="U409" s="149">
        <v>16</v>
      </c>
      <c r="V409" s="149">
        <v>149.19999999999999</v>
      </c>
      <c r="W409" s="149">
        <v>9.24</v>
      </c>
      <c r="X409" s="149">
        <v>20.7</v>
      </c>
      <c r="Y409" s="149">
        <v>4657</v>
      </c>
      <c r="Z409" s="149">
        <v>1540</v>
      </c>
      <c r="AA409" s="149">
        <v>8.81</v>
      </c>
      <c r="AB409" s="149">
        <v>5.07</v>
      </c>
      <c r="AC409" s="149">
        <v>458</v>
      </c>
      <c r="AD409" s="149">
        <v>152</v>
      </c>
      <c r="AE409" s="149">
        <v>508</v>
      </c>
      <c r="AF409" s="149">
        <v>231</v>
      </c>
      <c r="AG409" s="149">
        <v>0.84899999999999998</v>
      </c>
      <c r="AH409" s="149">
        <v>16.7</v>
      </c>
      <c r="AI409" s="149">
        <v>0.14199999999999999</v>
      </c>
      <c r="AJ409" s="149">
        <v>25.5</v>
      </c>
      <c r="AK409" s="148">
        <v>59.9</v>
      </c>
    </row>
    <row r="410" spans="1:37" ht="15.6">
      <c r="A410" s="150" t="s">
        <v>259</v>
      </c>
      <c r="B410" s="149">
        <v>210.3</v>
      </c>
      <c r="C410" s="149">
        <v>133.9</v>
      </c>
      <c r="D410" s="149">
        <v>6.4</v>
      </c>
      <c r="E410" s="149">
        <v>10.199999999999999</v>
      </c>
      <c r="F410" s="149">
        <v>12.7</v>
      </c>
      <c r="G410" s="149">
        <v>164.5</v>
      </c>
      <c r="H410" s="149">
        <v>3219</v>
      </c>
      <c r="I410" s="149">
        <v>409</v>
      </c>
      <c r="J410" s="149">
        <v>306</v>
      </c>
      <c r="K410" s="149">
        <v>61.1</v>
      </c>
      <c r="L410" s="149">
        <v>344</v>
      </c>
      <c r="M410" s="149">
        <v>94.2</v>
      </c>
      <c r="N410" s="148">
        <v>40.9</v>
      </c>
      <c r="O410" s="150" t="s">
        <v>259</v>
      </c>
      <c r="P410" s="149">
        <v>32.1</v>
      </c>
      <c r="Q410" s="149">
        <v>210.3</v>
      </c>
      <c r="R410" s="149">
        <v>133.9</v>
      </c>
      <c r="S410" s="149">
        <v>6.4</v>
      </c>
      <c r="T410" s="149">
        <v>10.199999999999999</v>
      </c>
      <c r="U410" s="149">
        <v>12.7</v>
      </c>
      <c r="V410" s="149">
        <v>164.5</v>
      </c>
      <c r="W410" s="149">
        <v>6.56</v>
      </c>
      <c r="X410" s="149">
        <v>25.7</v>
      </c>
      <c r="Y410" s="149">
        <v>3219</v>
      </c>
      <c r="Z410" s="149">
        <v>409</v>
      </c>
      <c r="AA410" s="149">
        <v>8.8800000000000008</v>
      </c>
      <c r="AB410" s="149">
        <v>3.16</v>
      </c>
      <c r="AC410" s="149">
        <v>306</v>
      </c>
      <c r="AD410" s="149">
        <v>61.1</v>
      </c>
      <c r="AE410" s="149">
        <v>344</v>
      </c>
      <c r="AF410" s="149">
        <v>94.2</v>
      </c>
      <c r="AG410" s="149">
        <v>0.88600000000000001</v>
      </c>
      <c r="AH410" s="149">
        <v>19.600000000000001</v>
      </c>
      <c r="AI410" s="149">
        <v>4.1000000000000002E-2</v>
      </c>
      <c r="AJ410" s="149">
        <v>13.7</v>
      </c>
      <c r="AK410" s="148">
        <v>40.9</v>
      </c>
    </row>
    <row r="411" spans="1:37" ht="15.6">
      <c r="A411" s="147" t="s">
        <v>258</v>
      </c>
      <c r="B411" s="146">
        <v>206.8</v>
      </c>
      <c r="C411" s="146">
        <v>133.4</v>
      </c>
      <c r="D411" s="146">
        <v>5.8</v>
      </c>
      <c r="E411" s="146">
        <v>8.4</v>
      </c>
      <c r="F411" s="146">
        <v>12.7</v>
      </c>
      <c r="G411" s="146">
        <v>164.6</v>
      </c>
      <c r="H411" s="146">
        <v>2656</v>
      </c>
      <c r="I411" s="146">
        <v>333</v>
      </c>
      <c r="J411" s="146">
        <v>257</v>
      </c>
      <c r="K411" s="146">
        <v>50</v>
      </c>
      <c r="L411" s="146">
        <v>287</v>
      </c>
      <c r="M411" s="146">
        <v>77.099999999999994</v>
      </c>
      <c r="N411" s="145">
        <v>34.799999999999997</v>
      </c>
      <c r="O411" s="147" t="s">
        <v>258</v>
      </c>
      <c r="P411" s="146">
        <v>27.3</v>
      </c>
      <c r="Q411" s="146">
        <v>206.8</v>
      </c>
      <c r="R411" s="146">
        <v>133.4</v>
      </c>
      <c r="S411" s="146">
        <v>5.8</v>
      </c>
      <c r="T411" s="146">
        <v>8.4</v>
      </c>
      <c r="U411" s="146">
        <v>12.7</v>
      </c>
      <c r="V411" s="146">
        <v>164.6</v>
      </c>
      <c r="W411" s="146">
        <v>7.94</v>
      </c>
      <c r="X411" s="146">
        <v>28.4</v>
      </c>
      <c r="Y411" s="146">
        <v>2656</v>
      </c>
      <c r="Z411" s="146">
        <v>333</v>
      </c>
      <c r="AA411" s="146">
        <v>8.73</v>
      </c>
      <c r="AB411" s="146">
        <v>3.09</v>
      </c>
      <c r="AC411" s="146">
        <v>257</v>
      </c>
      <c r="AD411" s="146">
        <v>50</v>
      </c>
      <c r="AE411" s="146">
        <v>287</v>
      </c>
      <c r="AF411" s="146">
        <v>77.099999999999994</v>
      </c>
      <c r="AG411" s="146">
        <v>0.88200000000000001</v>
      </c>
      <c r="AH411" s="146">
        <v>22.7</v>
      </c>
      <c r="AI411" s="146">
        <v>3.3000000000000002E-2</v>
      </c>
      <c r="AJ411" s="146">
        <v>8.5500000000000007</v>
      </c>
      <c r="AK411" s="145">
        <v>34.799999999999997</v>
      </c>
    </row>
    <row r="412" spans="1:37">
      <c r="A412" s="150" t="s">
        <v>257</v>
      </c>
      <c r="B412" s="149">
        <v>162.1</v>
      </c>
      <c r="C412" s="149">
        <v>154.4</v>
      </c>
      <c r="D412" s="149">
        <v>8.1</v>
      </c>
      <c r="E412" s="149">
        <v>11.6</v>
      </c>
      <c r="F412" s="149">
        <v>12.7</v>
      </c>
      <c r="G412" s="149">
        <v>113.5</v>
      </c>
      <c r="H412" s="149">
        <v>2275</v>
      </c>
      <c r="I412" s="149">
        <v>713</v>
      </c>
      <c r="J412" s="149">
        <v>281</v>
      </c>
      <c r="K412" s="149">
        <v>92.4</v>
      </c>
      <c r="L412" s="149">
        <v>318</v>
      </c>
      <c r="M412" s="149">
        <v>142</v>
      </c>
      <c r="N412" s="148">
        <v>48.5</v>
      </c>
      <c r="O412" s="150" t="s">
        <v>257</v>
      </c>
      <c r="P412" s="149">
        <v>38</v>
      </c>
      <c r="Q412" s="149">
        <v>162.1</v>
      </c>
      <c r="R412" s="149">
        <v>154.4</v>
      </c>
      <c r="S412" s="149">
        <v>8.1</v>
      </c>
      <c r="T412" s="149">
        <v>11.6</v>
      </c>
      <c r="U412" s="149">
        <v>12.7</v>
      </c>
      <c r="V412" s="149">
        <v>113.5</v>
      </c>
      <c r="W412" s="149">
        <v>6.66</v>
      </c>
      <c r="X412" s="149">
        <v>14</v>
      </c>
      <c r="Y412" s="149">
        <v>2275</v>
      </c>
      <c r="Z412" s="149">
        <v>713</v>
      </c>
      <c r="AA412" s="149">
        <v>6.85</v>
      </c>
      <c r="AB412" s="149">
        <v>3.84</v>
      </c>
      <c r="AC412" s="149">
        <v>281</v>
      </c>
      <c r="AD412" s="149">
        <v>92.4</v>
      </c>
      <c r="AE412" s="149">
        <v>318</v>
      </c>
      <c r="AF412" s="149">
        <v>142</v>
      </c>
      <c r="AG412" s="149">
        <v>0.85</v>
      </c>
      <c r="AH412" s="149">
        <v>12.6</v>
      </c>
      <c r="AI412" s="149">
        <v>0.04</v>
      </c>
      <c r="AJ412" s="149">
        <v>22.1</v>
      </c>
      <c r="AK412" s="148">
        <v>48.5</v>
      </c>
    </row>
    <row r="413" spans="1:37">
      <c r="A413" s="150" t="s">
        <v>256</v>
      </c>
      <c r="B413" s="149">
        <v>157.5</v>
      </c>
      <c r="C413" s="149">
        <v>152.9</v>
      </c>
      <c r="D413" s="149">
        <v>6.6</v>
      </c>
      <c r="E413" s="149">
        <v>9.3000000000000007</v>
      </c>
      <c r="F413" s="149">
        <v>12.7</v>
      </c>
      <c r="G413" s="149">
        <v>113.5</v>
      </c>
      <c r="H413" s="149">
        <v>1773</v>
      </c>
      <c r="I413" s="149">
        <v>555</v>
      </c>
      <c r="J413" s="149">
        <v>225</v>
      </c>
      <c r="K413" s="149">
        <v>72.599999999999994</v>
      </c>
      <c r="L413" s="149">
        <v>252</v>
      </c>
      <c r="M413" s="149">
        <v>111</v>
      </c>
      <c r="N413" s="148">
        <v>39</v>
      </c>
      <c r="O413" s="150" t="s">
        <v>256</v>
      </c>
      <c r="P413" s="149">
        <v>30.6</v>
      </c>
      <c r="Q413" s="149">
        <v>157.5</v>
      </c>
      <c r="R413" s="149">
        <v>152.9</v>
      </c>
      <c r="S413" s="149">
        <v>6.6</v>
      </c>
      <c r="T413" s="149">
        <v>9.3000000000000007</v>
      </c>
      <c r="U413" s="149">
        <v>12.7</v>
      </c>
      <c r="V413" s="149">
        <v>113.5</v>
      </c>
      <c r="W413" s="149">
        <v>8.2200000000000006</v>
      </c>
      <c r="X413" s="149">
        <v>17.2</v>
      </c>
      <c r="Y413" s="149">
        <v>1773</v>
      </c>
      <c r="Z413" s="149">
        <v>555</v>
      </c>
      <c r="AA413" s="149">
        <v>6.74</v>
      </c>
      <c r="AB413" s="149">
        <v>3.77</v>
      </c>
      <c r="AC413" s="149">
        <v>225</v>
      </c>
      <c r="AD413" s="149">
        <v>72.599999999999994</v>
      </c>
      <c r="AE413" s="149">
        <v>252</v>
      </c>
      <c r="AF413" s="149">
        <v>111</v>
      </c>
      <c r="AG413" s="149">
        <v>0.85</v>
      </c>
      <c r="AH413" s="149">
        <v>15.1</v>
      </c>
      <c r="AI413" s="149">
        <v>0.03</v>
      </c>
      <c r="AJ413" s="149">
        <v>12</v>
      </c>
      <c r="AK413" s="148">
        <v>39</v>
      </c>
    </row>
    <row r="414" spans="1:37">
      <c r="A414" s="150" t="s">
        <v>255</v>
      </c>
      <c r="B414" s="149">
        <v>528.32000000000005</v>
      </c>
      <c r="C414" s="149">
        <v>208.78800000000001</v>
      </c>
      <c r="D414" s="149">
        <v>9.5250000000000004</v>
      </c>
      <c r="E414" s="149">
        <v>13.258800000000001</v>
      </c>
      <c r="F414" s="149">
        <f>25.908-E414</f>
        <v>12.6492</v>
      </c>
      <c r="G414" s="149"/>
      <c r="H414" s="149"/>
      <c r="I414" s="149"/>
      <c r="J414" s="149"/>
      <c r="K414" s="149"/>
      <c r="L414" s="149">
        <f>2064770.064/1000</f>
        <v>2064.7700639999998</v>
      </c>
      <c r="M414" s="149"/>
      <c r="N414" s="148">
        <v>104.32</v>
      </c>
      <c r="O414" s="150"/>
      <c r="P414" s="149"/>
      <c r="Q414" s="149"/>
      <c r="R414" s="149"/>
      <c r="S414" s="149"/>
      <c r="T414" s="149"/>
      <c r="U414" s="149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49"/>
      <c r="AF414" s="149"/>
      <c r="AG414" s="149"/>
      <c r="AH414" s="149"/>
      <c r="AI414" s="149"/>
      <c r="AJ414" s="149"/>
      <c r="AK414" s="148"/>
    </row>
    <row r="415" spans="1:37">
      <c r="A415" s="147" t="s">
        <v>254</v>
      </c>
      <c r="B415" s="146">
        <v>152.1</v>
      </c>
      <c r="C415" s="146">
        <v>152.1</v>
      </c>
      <c r="D415" s="146">
        <v>5.8</v>
      </c>
      <c r="E415" s="146">
        <v>6.6</v>
      </c>
      <c r="F415" s="146">
        <v>12.7</v>
      </c>
      <c r="G415" s="146">
        <v>113.5</v>
      </c>
      <c r="H415" s="146">
        <v>1254</v>
      </c>
      <c r="I415" s="146">
        <v>388</v>
      </c>
      <c r="J415" s="146">
        <v>165</v>
      </c>
      <c r="K415" s="146">
        <v>51</v>
      </c>
      <c r="L415" s="146">
        <v>183</v>
      </c>
      <c r="M415" s="146">
        <v>78.3</v>
      </c>
      <c r="N415" s="145">
        <v>29.5</v>
      </c>
      <c r="O415" s="147" t="s">
        <v>254</v>
      </c>
      <c r="P415" s="146">
        <v>23.2</v>
      </c>
      <c r="Q415" s="146">
        <v>152.1</v>
      </c>
      <c r="R415" s="146">
        <v>152.1</v>
      </c>
      <c r="S415" s="146">
        <v>5.8</v>
      </c>
      <c r="T415" s="146">
        <v>6.6</v>
      </c>
      <c r="U415" s="146">
        <v>12.7</v>
      </c>
      <c r="V415" s="146">
        <v>113.5</v>
      </c>
      <c r="W415" s="146">
        <v>11.5</v>
      </c>
      <c r="X415" s="146">
        <v>19.600000000000001</v>
      </c>
      <c r="Y415" s="146">
        <v>1254</v>
      </c>
      <c r="Z415" s="146">
        <v>388</v>
      </c>
      <c r="AA415" s="146">
        <v>6.52</v>
      </c>
      <c r="AB415" s="146">
        <v>3.62</v>
      </c>
      <c r="AC415" s="146">
        <v>165</v>
      </c>
      <c r="AD415" s="146">
        <v>51</v>
      </c>
      <c r="AE415" s="146">
        <v>183</v>
      </c>
      <c r="AF415" s="146">
        <v>78.3</v>
      </c>
      <c r="AG415" s="146">
        <v>0.84199999999999997</v>
      </c>
      <c r="AH415" s="146">
        <v>19.2</v>
      </c>
      <c r="AI415" s="146">
        <v>2.1000000000000001E-2</v>
      </c>
      <c r="AJ415" s="146">
        <v>5.45</v>
      </c>
      <c r="AK415" s="145">
        <v>29.5</v>
      </c>
    </row>
    <row r="416" spans="1:37">
      <c r="A416" s="147" t="s">
        <v>177</v>
      </c>
      <c r="B416" s="146">
        <f>25.4*36</f>
        <v>914.4</v>
      </c>
      <c r="C416" s="146">
        <f>25.4*8</f>
        <v>203.2</v>
      </c>
      <c r="D416" s="146"/>
      <c r="E416" s="146">
        <f>25.4*3/8</f>
        <v>9.5249999999999986</v>
      </c>
      <c r="F416" s="146"/>
      <c r="G416" s="146"/>
      <c r="H416" s="146"/>
      <c r="I416" s="146"/>
      <c r="J416" s="146"/>
      <c r="K416" s="146"/>
      <c r="L416" s="146"/>
      <c r="M416" s="146"/>
      <c r="N416" s="145"/>
      <c r="O416" s="147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  <c r="AH416" s="146"/>
      <c r="AI416" s="146"/>
      <c r="AJ416" s="146"/>
      <c r="AK416" s="145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97</vt:i4>
      </vt:variant>
    </vt:vector>
  </HeadingPairs>
  <TitlesOfParts>
    <vt:vector size="101" baseType="lpstr">
      <vt:lpstr>Sheet1</vt:lpstr>
      <vt:lpstr>Revisions</vt:lpstr>
      <vt:lpstr>St-Table</vt:lpstr>
      <vt:lpstr>Compact Chart</vt:lpstr>
      <vt:lpstr>ar</vt:lpstr>
      <vt:lpstr>Sheet1!Area</vt:lpstr>
      <vt:lpstr>Bfb</vt:lpstr>
      <vt:lpstr>Bft</vt:lpstr>
      <vt:lpstr>Sheet1!Cb</vt:lpstr>
      <vt:lpstr>Cf</vt:lpstr>
      <vt:lpstr>Classification</vt:lpstr>
      <vt:lpstr>CPG_f</vt:lpstr>
      <vt:lpstr>CPG_LTB</vt:lpstr>
      <vt:lpstr>Cv</vt:lpstr>
      <vt:lpstr>dw</vt:lpstr>
      <vt:lpstr>Es</vt:lpstr>
      <vt:lpstr>Fcr_f</vt:lpstr>
      <vt:lpstr>Fcr_LTB</vt:lpstr>
      <vt:lpstr>Fe</vt:lpstr>
      <vt:lpstr>FL</vt:lpstr>
      <vt:lpstr>FlgCom</vt:lpstr>
      <vt:lpstr>Fy</vt:lpstr>
      <vt:lpstr>Sheet1!h</vt:lpstr>
      <vt:lpstr>Hw</vt:lpstr>
      <vt:lpstr>IR</vt:lpstr>
      <vt:lpstr>Ixx</vt:lpstr>
      <vt:lpstr>Iyy</vt:lpstr>
      <vt:lpstr>J</vt:lpstr>
      <vt:lpstr>Sheet1!klx</vt:lpstr>
      <vt:lpstr>Sheet1!kly</vt:lpstr>
      <vt:lpstr>Lamda_c</vt:lpstr>
      <vt:lpstr>Lamda_f</vt:lpstr>
      <vt:lpstr>Lamda_LTB</vt:lpstr>
      <vt:lpstr>Lamda_p_f</vt:lpstr>
      <vt:lpstr>Lamda_p_f_LTB</vt:lpstr>
      <vt:lpstr>Lamda_p_w</vt:lpstr>
      <vt:lpstr>Lamda_r_f</vt:lpstr>
      <vt:lpstr>Lamda_r_f_LTB</vt:lpstr>
      <vt:lpstr>Lamda_r_w</vt:lpstr>
      <vt:lpstr>Lamda_w</vt:lpstr>
      <vt:lpstr>Sheet1!Lamda_x</vt:lpstr>
      <vt:lpstr>Sheet1!Lamda_y</vt:lpstr>
      <vt:lpstr>Sheet1!Lamdax</vt:lpstr>
      <vt:lpstr>Sheet1!Lamday</vt:lpstr>
      <vt:lpstr>Lb</vt:lpstr>
      <vt:lpstr>Lp</vt:lpstr>
      <vt:lpstr>Lr</vt:lpstr>
      <vt:lpstr>Sheet1!Lu</vt:lpstr>
      <vt:lpstr>m</vt:lpstr>
      <vt:lpstr>M_sy</vt:lpstr>
      <vt:lpstr>Mcr</vt:lpstr>
      <vt:lpstr>Mcr_y</vt:lpstr>
      <vt:lpstr>Mp</vt:lpstr>
      <vt:lpstr>Mp_y</vt:lpstr>
      <vt:lpstr>Mr</vt:lpstr>
      <vt:lpstr>Sheet1!Mx</vt:lpstr>
      <vt:lpstr>Sheet1!My</vt:lpstr>
      <vt:lpstr>Sheet1!P</vt:lpstr>
      <vt:lpstr>phib</vt:lpstr>
      <vt:lpstr>phic</vt:lpstr>
      <vt:lpstr>Phit</vt:lpstr>
      <vt:lpstr>phiv</vt:lpstr>
      <vt:lpstr>Sheet1!Print_Area</vt:lpstr>
      <vt:lpstr>Sheet1!Print_Titles</vt:lpstr>
      <vt:lpstr>Prof</vt:lpstr>
      <vt:lpstr>Q</vt:lpstr>
      <vt:lpstr>Sheet1!Qx</vt:lpstr>
      <vt:lpstr>Sheet1!Qy</vt:lpstr>
      <vt:lpstr>Re</vt:lpstr>
      <vt:lpstr>Rpg_f</vt:lpstr>
      <vt:lpstr>Rpg_LTB</vt:lpstr>
      <vt:lpstr>rr</vt:lpstr>
      <vt:lpstr>Rt</vt:lpstr>
      <vt:lpstr>Rxx</vt:lpstr>
      <vt:lpstr>Ryy</vt:lpstr>
      <vt:lpstr>SecCom</vt:lpstr>
      <vt:lpstr>SQRTFY</vt:lpstr>
      <vt:lpstr>St_Table</vt:lpstr>
      <vt:lpstr>Sheet1!Stiff_N</vt:lpstr>
      <vt:lpstr>Sheet1!Stiff1</vt:lpstr>
      <vt:lpstr>Sheet1!Stiff2</vt:lpstr>
      <vt:lpstr>Sheet1!Stiff3</vt:lpstr>
      <vt:lpstr>Sheet1!Sxxbot</vt:lpstr>
      <vt:lpstr>Sheet1!Sxxtop</vt:lpstr>
      <vt:lpstr>Syybot</vt:lpstr>
      <vt:lpstr>Syytop</vt:lpstr>
      <vt:lpstr>Sheet1!tfb</vt:lpstr>
      <vt:lpstr>Sheet1!tft</vt:lpstr>
      <vt:lpstr>Sheet1!tw</vt:lpstr>
      <vt:lpstr>WebCom</vt:lpstr>
      <vt:lpstr>X</vt:lpstr>
      <vt:lpstr>x0</vt:lpstr>
      <vt:lpstr>xa</vt:lpstr>
      <vt:lpstr>xc</vt:lpstr>
      <vt:lpstr>y0</vt:lpstr>
      <vt:lpstr>ya</vt:lpstr>
      <vt:lpstr>Sheet1!Ybot</vt:lpstr>
      <vt:lpstr>yc</vt:lpstr>
      <vt:lpstr>Sheet1!Ytop</vt:lpstr>
      <vt:lpstr>Zxx</vt:lpstr>
      <vt:lpstr>Zyy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ISMAIL</dc:creator>
  <cp:lastModifiedBy>M H Ismail</cp:lastModifiedBy>
  <cp:lastPrinted>2019-08-01T07:02:09Z</cp:lastPrinted>
  <dcterms:created xsi:type="dcterms:W3CDTF">1999-01-12T22:59:09Z</dcterms:created>
  <dcterms:modified xsi:type="dcterms:W3CDTF">2019-09-15T09:20:50Z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415959658</vt:i4>
  </property>
  <property fmtid="{D5CDD505-2E9C-101B-9397-08002B2CF9AE}" pid="3" name="_EmailSubject">
    <vt:lpwstr>xls sheet</vt:lpwstr>
  </property>
  <property fmtid="{D5CDD505-2E9C-101B-9397-08002B2CF9AE}" pid="4" name="_AuthorEmail">
    <vt:lpwstr>RKasem@enppi.com</vt:lpwstr>
  </property>
  <property fmtid="{D5CDD505-2E9C-101B-9397-08002B2CF9AE}" pid="5" name="_AuthorEmailDisplayName">
    <vt:lpwstr>Ramadan Kasem Fadlall</vt:lpwstr>
  </property>
  <property fmtid="{D5CDD505-2E9C-101B-9397-08002B2CF9AE}" pid="6" name="_ReviewingToolsShownOnce">
    <vt:lpwstr/>
  </property>
  <property fmtid="{D5CDD505-2E9C-101B-9397-08002B2CF9AE}" pid="7" name="i" linkTarget="prop_i">
    <vt:r8>0</vt:r8>
  </property>
</Properties>
</file>